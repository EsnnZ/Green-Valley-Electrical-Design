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cketno.9/Desktop/Green Valley Electrical System Design Project/"/>
    </mc:Choice>
  </mc:AlternateContent>
  <xr:revisionPtr revIDLastSave="0" documentId="13_ncr:1_{840D5172-9181-0D40-9532-BEEECD52BB80}" xr6:coauthVersionLast="47" xr6:coauthVersionMax="47" xr10:uidLastSave="{00000000-0000-0000-0000-000000000000}"/>
  <bookViews>
    <workbookView xWindow="0" yWindow="760" windowWidth="30240" windowHeight="18880" xr2:uid="{B51747A9-B612-7248-9124-C4061C7B8657}"/>
  </bookViews>
  <sheets>
    <sheet name="Doc &amp; Version Control" sheetId="8" r:id="rId1"/>
    <sheet name="Summary" sheetId="7" r:id="rId2"/>
    <sheet name="Load &amp; Max Demand Analysis" sheetId="5" r:id="rId3"/>
    <sheet name="Load Flow Input Analysi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6" l="1"/>
  <c r="E16" i="6"/>
  <c r="G16" i="6" s="1"/>
  <c r="F13" i="6"/>
  <c r="E13" i="6"/>
  <c r="F7" i="6"/>
  <c r="E7" i="6"/>
  <c r="G13" i="6" l="1"/>
  <c r="G7" i="6"/>
</calcChain>
</file>

<file path=xl/sharedStrings.xml><?xml version="1.0" encoding="utf-8"?>
<sst xmlns="http://schemas.openxmlformats.org/spreadsheetml/2006/main" count="540" uniqueCount="391">
  <si>
    <t>Area</t>
  </si>
  <si>
    <t>—</t>
  </si>
  <si>
    <t>Office</t>
  </si>
  <si>
    <t>Workshop</t>
  </si>
  <si>
    <t>Qty</t>
  </si>
  <si>
    <t>Laptop + monitor workstation</t>
  </si>
  <si>
    <t>65 W laptop adapter + 65 W max monitor</t>
  </si>
  <si>
    <t>Shared multifunction printer</t>
  </si>
  <si>
    <t>920 W peak</t>
  </si>
  <si>
    <t>16-port PoE network switch</t>
  </si>
  <si>
    <t>UPS</t>
  </si>
  <si>
    <t>Not additive</t>
  </si>
  <si>
    <t>Double GPO provision</t>
  </si>
  <si>
    <t>Split-system HVAC</t>
  </si>
  <si>
    <t>LED panel lighting</t>
  </si>
  <si>
    <t>36 W/fitting</t>
  </si>
  <si>
    <t>0.288 kW</t>
  </si>
  <si>
    <t>Storage hot-water unit</t>
  </si>
  <si>
    <t>Kettle</t>
  </si>
  <si>
    <t>Microwave</t>
  </si>
  <si>
    <t>Toaster</t>
  </si>
  <si>
    <t>20 W</t>
  </si>
  <si>
    <t>0.020 kW</t>
  </si>
  <si>
    <t>Screw air compressor</t>
  </si>
  <si>
    <t>Vehicle hoist</t>
  </si>
  <si>
    <t>Maintenance welding supply</t>
  </si>
  <si>
    <t>Motorised roller doors</t>
  </si>
  <si>
    <t>General tools / battery chargers / portable equipment</t>
  </si>
  <si>
    <t>External</t>
  </si>
  <si>
    <t>0.400 kW</t>
  </si>
  <si>
    <t>MSB</t>
  </si>
  <si>
    <t>Future expansion spare feeder</t>
  </si>
  <si>
    <t>Total</t>
  </si>
  <si>
    <t>Supply</t>
  </si>
  <si>
    <t>Unit Rating</t>
  </si>
  <si>
    <t>415 V 3φ</t>
  </si>
  <si>
    <t>Design Summary</t>
  </si>
  <si>
    <t>Result</t>
  </si>
  <si>
    <t>Calculated Maximum Demand</t>
  </si>
  <si>
    <t>Project Spare Capacity</t>
  </si>
  <si>
    <t>Design Demand</t>
  </si>
  <si>
    <t>Preliminary Transformer</t>
  </si>
  <si>
    <t>100 kVA, 11/0.415 kV</t>
  </si>
  <si>
    <t>Transformer loading at calculated MD</t>
  </si>
  <si>
    <t>Transformer loading incl. design reserve</t>
  </si>
  <si>
    <t>Next verification</t>
  </si>
  <si>
    <t>Load Flow + voltage drop + motor starting</t>
  </si>
  <si>
    <t>Equipment / Service</t>
  </si>
  <si>
    <t>230 V 1φ</t>
  </si>
  <si>
    <t>Continuous during office hours</t>
  </si>
  <si>
    <t>Intermittent</t>
  </si>
  <si>
    <t>15 double = 30 outlets</t>
  </si>
  <si>
    <t>Mixed / intermittent</t>
  </si>
  <si>
    <t>Cycling / automatic</t>
  </si>
  <si>
    <t>Continuous when occupied</t>
  </si>
  <si>
    <t>141.4 W worst-case incl. PoE</t>
  </si>
  <si>
    <t>Continuous</t>
  </si>
  <si>
    <t>Cycling / thermostatic</t>
  </si>
  <si>
    <t>Toilet / washroom exhaust fan</t>
  </si>
  <si>
    <t>Cycling / occupancy controlled</t>
  </si>
  <si>
    <t>Cycling / automatic; capable of 100% duty</t>
  </si>
  <si>
    <t>240 V 1φ</t>
  </si>
  <si>
    <t>3.60 kVA</t>
  </si>
  <si>
    <t>Welding fume extractor</t>
  </si>
  <si>
    <t>Intermittent; coincident with welding</t>
  </si>
  <si>
    <t>1.000 kW</t>
  </si>
  <si>
    <t>LED high-bay lighting</t>
  </si>
  <si>
    <t>8 preliminary</t>
  </si>
  <si>
    <t>230/240 V</t>
  </si>
  <si>
    <t>120 W max/fitting; ~20,000 lm/fitting</t>
  </si>
  <si>
    <t>Continuous when workshop occupied</t>
  </si>
  <si>
    <t>0.960 kW</t>
  </si>
  <si>
    <t>General dilution / roof exhaust ventilation</t>
  </si>
  <si>
    <t>Building / perimeter floodlighting</t>
  </si>
  <si>
    <t>Continuous at night</t>
  </si>
  <si>
    <t>Emergency / exit lighting</t>
  </si>
  <si>
    <t>Standby / unused</t>
  </si>
  <si>
    <t>0 kW current</t>
  </si>
  <si>
    <t>All Building</t>
  </si>
  <si>
    <t>Paper shredder</t>
  </si>
  <si>
    <t>460 W motor</t>
  </si>
  <si>
    <t>Standing fan</t>
  </si>
  <si>
    <t>35 W</t>
  </si>
  <si>
    <t>Intermittent / user-controlled</t>
  </si>
  <si>
    <t>/</t>
  </si>
  <si>
    <t>0.1414 kW</t>
  </si>
  <si>
    <t>WAN/router</t>
  </si>
  <si>
    <t>24.8 W max</t>
  </si>
  <si>
    <t>0.0248 kW</t>
  </si>
  <si>
    <t>AS/NZS 3000 Cl.2.2.2 assessment; 100%</t>
  </si>
  <si>
    <t>1500 VA / 1000 W output capacity</t>
  </si>
  <si>
    <t>Supplies downstream comms loads; capacity not treated as additional load</t>
  </si>
  <si>
    <t>UPS recharge check</t>
  </si>
  <si>
    <t>Charger 136 W</t>
  </si>
  <si>
    <t>Temporary operating condition</t>
  </si>
  <si>
    <t>Downstream MD + charger</t>
  </si>
  <si>
    <t>≈0.302 kW + conversion losses</t>
  </si>
  <si>
    <t>AS/NZS 3000 Cl.2.2.2 assessment; 100% because continuously energized</t>
  </si>
  <si>
    <t>1.80 kW</t>
  </si>
  <si>
    <t>220–240 V, 1φ</t>
  </si>
  <si>
    <t>2.0–2.4 kW</t>
  </si>
  <si>
    <t>Intermittent / automatic shut-off</t>
  </si>
  <si>
    <t>230–240 V, 1φ, 50 Hz</t>
  </si>
  <si>
    <t>1.33 kW electrical input</t>
  </si>
  <si>
    <t>220–240 V, 1φ, 50–60 Hz</t>
  </si>
  <si>
    <t>0.84–1.00 kW</t>
  </si>
  <si>
    <t>230–240 V, 1φ</t>
  </si>
  <si>
    <t>50 L, 1.8 kW element</t>
  </si>
  <si>
    <t>Rheem 191050 representative 50 L electric storage HWS. 1.8 kW element selected for conceptual design; retain original Rheem manufacturer reference from Rev 0.</t>
  </si>
  <si>
    <t>Preliminary</t>
  </si>
  <si>
    <t>Commercial underbench refrigerator</t>
  </si>
  <si>
    <t>220–240 V, 1φ, 50 Hz</t>
  </si>
  <si>
    <t>138 L; 280 W electrical power; 1.2 A rated current</t>
  </si>
  <si>
    <t>1  kW</t>
  </si>
  <si>
    <t>3 representative items</t>
  </si>
  <si>
    <t>470 W charger + 250 W bench grinder + 840 W angle grinder</t>
  </si>
  <si>
    <t>0 mechanical fans in Rev 1</t>
  </si>
  <si>
    <t>Natural ventilation</t>
  </si>
  <si>
    <t>0 kW</t>
  </si>
  <si>
    <t>Intermittent / low-cycle</t>
  </si>
  <si>
    <t>No mechanical load currently installed, using natual ventilation</t>
  </si>
  <si>
    <t>General-purpose socket outlets</t>
  </si>
  <si>
    <t>10 double GPO = 20 outlets</t>
  </si>
  <si>
    <t>230 V, 1φ, 10 A</t>
  </si>
  <si>
    <t>10 A per outlet</t>
  </si>
  <si>
    <t>100 W setting each</t>
  </si>
  <si>
    <t>3 maintained exit signs + 4 emergency luminaires</t>
  </si>
  <si>
    <t>Exit signs maintained continuously; emergency luminaires non-maintained / battery-backed</t>
  </si>
  <si>
    <t>0.024 kW</t>
  </si>
  <si>
    <t>Capacity TBD after current MD calculation</t>
  </si>
  <si>
    <t>3.900 kW</t>
  </si>
  <si>
    <t>3.65 kW max electrical input each
7.1 kW cooling</t>
  </si>
  <si>
    <t>Included in GPO Group calculation 
Table C2 Group (b)(i), Column 3</t>
  </si>
  <si>
    <t>PF</t>
  </si>
  <si>
    <t>Feeder</t>
  </si>
  <si>
    <t>P (kW)</t>
  </si>
  <si>
    <t>Q (kVAr)</t>
  </si>
  <si>
    <t>S (kVA)</t>
  </si>
  <si>
    <t>(a) Lighting other than Group (f)</t>
  </si>
  <si>
    <t>1φ loads, later balanced across 3φ</t>
  </si>
  <si>
    <t>External floodlighting + emergency / exit lighting</t>
  </si>
  <si>
    <t>(b)(ii) Socket-outlets ≤10 A with permanently installed HVAC</t>
  </si>
  <si>
    <t>Office general GPO aggregate</t>
  </si>
  <si>
    <t>(c)(i) Cooking, heating and cooling appliances</t>
  </si>
  <si>
    <t>HVAC ×2 + kettle + microwave + toaster + refrigerator</t>
  </si>
  <si>
    <t>Predominantly 1φ, later balanced across 3φ</t>
  </si>
  <si>
    <t>(g) Thermal-storage heating elements</t>
  </si>
  <si>
    <t>Storage hot-water system</t>
  </si>
  <si>
    <t>1φ</t>
  </si>
  <si>
    <t>(j) Other equipment not covered above — by assessment</t>
  </si>
  <si>
    <t>Workshop high-bay lighting</t>
  </si>
  <si>
    <t>(b)(i) Socket-outlets ≤10 A</t>
  </si>
  <si>
    <t>Workshop general-purpose outlets / portable tools aggregate</t>
  </si>
  <si>
    <t>(d) Motors other than Groups (e) and (f)</t>
  </si>
  <si>
    <t>Compressor 100% + vehicle hoist 75% + roller-door motors 50% each</t>
  </si>
  <si>
    <t>3φ</t>
  </si>
  <si>
    <t>(h) Welding machines</t>
  </si>
  <si>
    <t>Maintenance welder</t>
  </si>
  <si>
    <t>(j) Other equipment — by assessment</t>
  </si>
  <si>
    <t>Welding fume extractor, 100% coincident with welding</t>
  </si>
  <si>
    <t xml:space="preserve">Office LED lighting+ toilet exhaust fan. </t>
  </si>
  <si>
    <t>(a) Lighting other than Group (f)
also devices permanently installed and &lt;150w</t>
  </si>
  <si>
    <t>0.905 lagging</t>
  </si>
  <si>
    <t>1φ mixed loads, later balanced across 3φ</t>
  </si>
  <si>
    <t>0.90 lagging</t>
  </si>
  <si>
    <t>0.953 lagging</t>
  </si>
  <si>
    <t>Communications: PoE switch + WAN/router via UPS</t>
  </si>
  <si>
    <t>0.80 lagging</t>
  </si>
  <si>
    <t>Resistive heating element. For concept load flow use PF≈1 and therefore Q≈0. Schneider typical PF data gives resistance heating equipment at unity PF. (Electrical Installation)
https://www.electrical-installation.org/enwiki/Practical_values_of_power_factor</t>
  </si>
  <si>
    <t>No single PF exists for this mixed outlet load. Concept-stage PF = 0.80 lagging is adopted conservatively because the representative mix is tool/motor-heavy plus electronic chargers. Schneider gives ordinary induction-motor PF around 0.80 at 75% load and 0.85 at full load. This is an engineering assumption, not an AS/NZS 3000 prescribed PF. (Electrical Installation)
https://www.electrical-installation.org/enwiki/Practical_values_of_power_factor</t>
  </si>
  <si>
    <t>Office  Subtotal</t>
  </si>
  <si>
    <t>Calculation Details</t>
  </si>
  <si>
    <t>Workshop Subtotal</t>
  </si>
  <si>
    <t>Operating  Basis</t>
  </si>
  <si>
    <t>Maximum Demand Basis / Classification</t>
  </si>
  <si>
    <t>Load ID</t>
  </si>
  <si>
    <t>Design Basis / Notes</t>
  </si>
  <si>
    <t>Reference ID</t>
  </si>
  <si>
    <t>LD-OF-01</t>
  </si>
  <si>
    <t>REF-OF-01</t>
  </si>
  <si>
    <t>URL</t>
  </si>
  <si>
    <t>LD-OF-02</t>
  </si>
  <si>
    <t>LD-OF-03</t>
  </si>
  <si>
    <t>LD-OF-04</t>
  </si>
  <si>
    <t>LD-OF-05</t>
  </si>
  <si>
    <t>LD-OF-06</t>
  </si>
  <si>
    <t>LD-OF-07</t>
  </si>
  <si>
    <t>LD-OF-08</t>
  </si>
  <si>
    <t>Office (Kitchenette)</t>
  </si>
  <si>
    <t>Office (Amenities)</t>
  </si>
  <si>
    <t>LD-OF-09</t>
  </si>
  <si>
    <t>LD-OF-10</t>
  </si>
  <si>
    <t>LD-OF-11</t>
  </si>
  <si>
    <t>LD-OF-12</t>
  </si>
  <si>
    <t>LD-OF-13</t>
  </si>
  <si>
    <t>LD-OF-14</t>
  </si>
  <si>
    <t>LD-OF-15</t>
  </si>
  <si>
    <t>LD-OF-16</t>
  </si>
  <si>
    <t>LD-OF-17</t>
  </si>
  <si>
    <t>LD-WS-01</t>
  </si>
  <si>
    <t>LD-WS-02</t>
  </si>
  <si>
    <t>LD-WS-03</t>
  </si>
  <si>
    <t>LD-WS-04</t>
  </si>
  <si>
    <t>LD-WS-05</t>
  </si>
  <si>
    <t>LD-WS-06</t>
  </si>
  <si>
    <t>LD-WS-07</t>
  </si>
  <si>
    <t>LD-WS-08</t>
  </si>
  <si>
    <t>LD-WS-09</t>
  </si>
  <si>
    <t>REF-OF-02</t>
  </si>
  <si>
    <t>REF-OF-03</t>
  </si>
  <si>
    <t>REF-OF-04</t>
  </si>
  <si>
    <t>REF-OF-05</t>
  </si>
  <si>
    <t>REF-OF-06</t>
  </si>
  <si>
    <t>REF-OF-07</t>
  </si>
  <si>
    <t>REF-OF-08</t>
  </si>
  <si>
    <t>REF-OF-09</t>
  </si>
  <si>
    <t>REF-OF-10</t>
  </si>
  <si>
    <t>REF-OF-11</t>
  </si>
  <si>
    <t>REF-OF-12</t>
  </si>
  <si>
    <t>REF-OF-13</t>
  </si>
  <si>
    <t>REF-OF-14</t>
  </si>
  <si>
    <t>REF-OF-15</t>
  </si>
  <si>
    <t>REF-OF-16</t>
  </si>
  <si>
    <t>REF-OF-17</t>
  </si>
  <si>
    <t>REF-WS-01</t>
  </si>
  <si>
    <t>REF-WS-02</t>
  </si>
  <si>
    <t>REF-WS-03</t>
  </si>
  <si>
    <t>REF-WS-04</t>
  </si>
  <si>
    <t>REF-WS-05</t>
  </si>
  <si>
    <t>REF-WS-06</t>
  </si>
  <si>
    <t>REF-WS-07</t>
  </si>
  <si>
    <t>REF-WS-08</t>
  </si>
  <si>
    <t>REF-WS-09</t>
  </si>
  <si>
    <t>REF-EXT-01</t>
  </si>
  <si>
    <t>LD-EXT-01</t>
  </si>
  <si>
    <t>AS/NZS 3000 non-domestic socket-outlet calculation
Load Group (b) (ii)</t>
  </si>
  <si>
    <t>heating/cooling/appliance group  calculation
AS/NZS 3000, table C2, Group (c) , colomn 3</t>
  </si>
  <si>
    <t>100% connected lighting load
AS/NZS 3000, table C2, Group (a), colomn 3</t>
  </si>
  <si>
    <t>AS/NZS 3000, table C2, group (g)   
Full load</t>
  </si>
  <si>
    <t>AS/NZS 3000 non-domestic socket-outlet calculation
Table C2 Group (b)(i), Column 3:
 first outlet 1000 W + 750 W per additional outlet</t>
  </si>
  <si>
    <t>AS/NZS 3000 Table C2 Group (d)
Largest motor: 100%</t>
  </si>
  <si>
    <t>AS/NZS 3000 Table C2 Group (d)
Second-largest motor: preliminary 75% contribution</t>
  </si>
  <si>
    <t xml:space="preserve">Maximum Demand = 3.60 kVA 
AS/NZS 3000 Appendix C, C2.5.2,C2.5.2.2 Arc welding machines, 100% rated primary current (I eff).
</t>
  </si>
  <si>
    <t>Group (h)
Engineering assessment according to AS/NZS 3000 Cl. 2.2.2
full connected load, because fume extraction is required coincidentally with welding operation.</t>
  </si>
  <si>
    <t>100% lighting load 
AS/NZS 3000 Table C2(a) column 3</t>
  </si>
  <si>
    <t>AS/NZS 3000 Table C2 Group (d)
both are remaining motors 
50% each</t>
  </si>
  <si>
    <t>AS/NZS 3000 Table C2 Group (a), Column 3
full connected lighting load</t>
  </si>
  <si>
    <t>AS/NZS 3000 Classification
(Load Group in Table C2)</t>
  </si>
  <si>
    <t>Load Description</t>
  </si>
  <si>
    <t>Phase Basis</t>
  </si>
  <si>
    <t>Ref Number</t>
  </si>
  <si>
    <t>P=ΣPi; Q=ΣQi; S=√(P²+Q²)</t>
  </si>
  <si>
    <t>Notes</t>
  </si>
  <si>
    <t>Calculated at Table C2 group (c)</t>
  </si>
  <si>
    <t>Calculated at Table C2 group (b)(ii) (GPO Group)</t>
  </si>
  <si>
    <t>15.25 kW</t>
  </si>
  <si>
    <t>Field</t>
  </si>
  <si>
    <t>Value</t>
  </si>
  <si>
    <t>Project</t>
  </si>
  <si>
    <t>Document</t>
  </si>
  <si>
    <t>Status</t>
  </si>
  <si>
    <t>Revision</t>
  </si>
  <si>
    <t>Prepared by</t>
  </si>
  <si>
    <t>Date</t>
  </si>
  <si>
    <t>Design Case</t>
  </si>
  <si>
    <t>Eason Zhu</t>
  </si>
  <si>
    <t>Green Valley Conceptual Mining Site Office &amp; Workshop Electrical Distribution Design</t>
  </si>
  <si>
    <t>REF-ALL-01</t>
  </si>
  <si>
    <t>LD-GEN-01</t>
  </si>
  <si>
    <t>72 m² ÷ 5 m² per double GPO → 15 double GPOs. Curtin guideline specifies one double GPO per 5 m² for typical office space.</t>
  </si>
  <si>
    <t>8 staff from 72 m² office. Dell 65 W USB-C adapter and P2425H monitor max 65 W.</t>
  </si>
  <si>
    <t>Dimplex DCACP30DC pedestal air-circulator fan, manufacturer rated power 35 W.</t>
  </si>
  <si>
    <t>Fantech SILDES300CZ3C-S, input 0.02 kW.</t>
  </si>
  <si>
    <t>Two preliminary HVAC zones. MHI Bronte 7.1 kW model: 1.84 kW nominal cooling input, 3.65 kW maximum input. Final selection requires mechanical heat-load calculation.</t>
  </si>
  <si>
    <t>Cisco C1200-16P-2G; 17.2 W system power, 120 W PoE budget, 141.4 W worst-case with PoE.</t>
  </si>
  <si>
    <t>APC SMT1500IC. UPS losses/recharge checked separately.</t>
  </si>
  <si>
    <t>Not part of normal MD.</t>
  </si>
  <si>
    <t>Breville Crystal Luxe BKE765. Manufacturer specifies 2000–2400 W, 220–240 V and automatic shut-off. For design, use maximum published input 2.40 kW.</t>
  </si>
  <si>
    <t>Panasonic NN-ST34NWQPQ. Manufacturer specifies 230–240 V / 50 Hz and 1330 W power consumption. Note that 900 W is microwave output, not electrical input.</t>
  </si>
  <si>
    <t>Breville Toast Select Luxe BTA735. Manufacturer specifies 840–1000 W, 220–240 V. Design uses maximum published input 1.00 kW.</t>
  </si>
  <si>
    <t>Quantity derived from workshop function/layout: 3 double GPO per maintenance bay ×2, 2 at workbench, 1 battery/tool area, 1 general service point. Non-office outlet quantity based on intended use rather than floor-area rule, consistent with Curtin Electrical Services Guidelines. Double GPO counts as two socket-outlet points. Industrial/weather-resistant GPO type to be selected to suit environmental exposure; Clipsal 56 Series IP66 used as representative product reference.</t>
  </si>
  <si>
    <t>New Rev 1 item. WorkSafe WA identifies LEV as an engineering control for welding fumes; Nederman FE840 is specifically suitable for maintenance welding and has 1 kW input.</t>
  </si>
  <si>
    <t>Revised from 6 → 8 due to 274.5 m² footprint. Australian utility specification references AS 1680.2.4 and uses 400 maintained lux for maintenance-workshop assembly/maintenance areas. Eight × 20,000 lm gives 160,000 source lumens versus 109,800 lm at 400 lx before utilisation/maintenance losses; therefore 8 is a reasonable preliminary quantity only. Final photometric model required.</t>
  </si>
  <si>
    <t>Base design adopts natural ventilation for the open/semi-open maintenance shelter, with dedicated welding LEV separately provided. Natural-ventilation compliance to be checked against AS 1668.4:2024. If enclosure/opening arrangement changes, reopen this item and design mechanical ventilation to AS 1668.2:2024. Safe Work Australia notes natural ventilation may be suitable for small workshops with one or two vehicles.</t>
  </si>
  <si>
    <t>Milwaukee M18 dual-bay charger 470 W max input; Makita GB602 250 W bench grinder; Makita 9558HN 840 W angle grinder. Used to validate realistic workshop GPO usage rather than as an additional diversified load.</t>
  </si>
  <si>
    <t>Existing four-corner conceptual arrangement retained. Pierlite MaxiMaster Gen3 supports selectable 100/150/200/250 W settings and is intended for industrial/commercial area lighting. Outdoor lighting layout to be verified against AS/NZS 1158.3.1:2020 + Amd 1:2024 where pedestrian/access-area lighting applies, and spill/obtrusive light against AS/NZS 4282:2023.</t>
  </si>
  <si>
    <t>Concept basis: 1 office egress + 2 workshop egress locations, plus one additional emergency luminaire at the internal/transition path. Pierlite Director 2 exit sign = 4.6 W; Firefly 2 emergency luminaire = 2.5 W max. Final location/spacing to be verified against NCC 2022 Part E4, AS/NZS 2293.1:2026, and product compliance to AS/NZS 2293.3:2026.</t>
  </si>
  <si>
    <t>Spare outgoing feeder provided for future expansion. Do not invent a fictitious future load. After current facility MD is calculated, use a project design allowance; a 25% spare-capacity criterion is defensible as a conceptual owner-design benchmark because UWA's published electrical design standard specifies a general minimum 25% spare allowance for transformers, switchgear, feeders, MSBs and DBs. This is a project criterion, not an AS/NZS 3000 requirement.</t>
  </si>
  <si>
    <t>https://properties.curtin.edu.au/wp-content/uploads/sites/5/2021/02/electrical-services-guidelines-v4-aug.pdf</t>
  </si>
  <si>
    <t>https://www.dell.com/en-au/shop/dell-65w-usb-c-adapter/apd/450-bfxc/pc-accessories?msockid=0421427fe1226c8d0ea554d9e0d36d92</t>
  </si>
  <si>
    <t>https://www.brother.com.au/-/media/ap2/australia/products/common/brochures/mfc-l2880dw-xl---brochure.pdf?rev=a66a68b91af14ebd89b4b52721340515</t>
  </si>
  <si>
    <t>https://www.shreddersonline.com.au/home-office/181-fellowes-99ci-cross-shredder.html</t>
  </si>
  <si>
    <t>https://www.dimplex.com.au/sites/g/files/emiian331/files/2020-08/DimplexCooling_Specs-2020-21_DCACP30DC.pdf</t>
  </si>
  <si>
    <t>https://www.fantech.com.au/FanDataPrint.aspx?MountingID=WE&amp;Pid=SILDES300CZ3C-S&amp;Product=silent-design-series&amp;RangeID=2027</t>
  </si>
  <si>
    <t>https://www.mhiaa.com.au/products/series/split-system-air-conditioners-bronte-series/</t>
  </si>
  <si>
    <t>https://www.cisco.com/c/en/us/products/collateral/switches/catalyst-1200-series-switches/nb-06-cat1200-ser-data-sheet-cte-en.html</t>
  </si>
  <si>
    <t>https://www.cisco.com/c/en/us/products/collateral/routers/1000-series-integrated-services-routers-isr/datasheet-c78-739512.html</t>
  </si>
  <si>
    <t>https://www.se.com/au/en/product/SMT1500IC/apc-smartups-line-interactive-1500va-tower-230v-8x-iec-c13-outlets-smartconnect-port%2Bsmartslot-avr-lcd/</t>
  </si>
  <si>
    <t>https://www.ijk.com.au/branch/ijk/product/162487p280_711/SMT1500IC.html</t>
  </si>
  <si>
    <t>https://www.breville.com/au/en/product/bke765?sku=BKE765BSS4JAN1</t>
  </si>
  <si>
    <t>https://www.panasonic.com/au/consumer/household/microwave-ovens/microwave-only/nn-st34nwqpq.specs.html</t>
  </si>
  <si>
    <t>https://www.breville.com/en-au/product/bta735?sku=BTA735SSB2IAN1</t>
  </si>
  <si>
    <t>https://portalimages.blob.core.windows.net/products/pdfs/5fkmyx5w_UBC0140SD-NR_SPEC_0525.pdf</t>
  </si>
  <si>
    <t>https://ch-delivery.lincolnelectric.com/api/public/content/55d9de03fb674f248c2313e9a9df607f?v=2acb76f5</t>
  </si>
  <si>
    <t>https://www.worksafe.wa.gov.au/local-exhaust-ventilation</t>
  </si>
  <si>
    <t>https://www.urbanutilities.com.au/sfsites/c/cms/delivery/media/MCS2XRTMIP25DOVBL5VMJWJL4KD4</t>
  </si>
  <si>
    <t>https://www.buildinginformationgateway.com.au/library/as-1668.4-2024-the-use-of-ventilation-and-airconditioning-in-buildings-part-4-natural-ventilation-of-buildings</t>
  </si>
  <si>
    <t>https://www.milwaukeetool.com.au/on/demandware.static/-/Sites/en_AU/v1749844943985/ProductResources/Powertools/Battery%20%26%20Chargers/M18DBSC-User-Manual.pdf</t>
  </si>
  <si>
    <t>https://pierlite.com.au/resources/Resource%20Assets/Pierlite%20Fast%20Movers%20February%202025_Medium%20Res.pdf</t>
  </si>
  <si>
    <t>https://pierlite.com.au/resources/Resource%20Assets/Pierlite%20Fast%20Movers%20FY%202024-2025%20%28MED%20RES%29.pdf</t>
  </si>
  <si>
    <t>https://www.uwa.edu.au/about/-/media/project/uwa/uwa/about/docs/campus-management/facilities-management/c-uwa-design-and-construction-standards-electrical-services-2-2.pdf</t>
  </si>
  <si>
    <t>https://properties.curtin.edu.au/wp-content/uploads/sites/5/2021/02/electrical-services-guidelines-v4-aug.pdf
https://www.se.com/au/en/product/56C310D-GY/switched-socket-outlet-clipsal-56-series-250v-10a-3-flat-pin-ip66-2-pole/</t>
  </si>
  <si>
    <t>https://www.atlascopco.com/en-au/compressors/air-compressor/2-18kw-screw-compressor/11-kw-screw-air-compressor
https://library.e.abb.com/public/391ef7da01144b5382c13d0bbe3bf5a7/11KW%204P%20IE2.pdf?x-sign=1bVTuqcjEMJz0V6D3gRy30EgeDuRJ%2B0OWV8xlHScy7b2RVDX5qKrfFALfrocdG4u</t>
  </si>
  <si>
    <t>Brother MFC-L2880DW, manufacturer specifies average peak 920 W.</t>
  </si>
  <si>
    <t>Fellowes 99Ci is a small-office shredder, Australian supplier data gives 460 W motor, 230 V/50 Hz.</t>
  </si>
  <si>
    <t>Cisco ISR representative rating, PSU loss excluded from published figure.</t>
  </si>
  <si>
    <t>Office (Communication)</t>
  </si>
  <si>
    <t>External Subtotal</t>
  </si>
  <si>
    <t>100% conservative, included in lighting group (a)</t>
  </si>
  <si>
    <t>Preliminary 4×2 layout in 72 m² office, Pierlite ECO Panel Gen3, final quantity subject to photometric calculation.</t>
  </si>
  <si>
    <t>1. Pierlite eco panel gen3 datasheet gives PF &gt;0.9, use 0.90 conservatively for the LED panels. 
2. Fantech fan gives 20 W and 0.09 A at 230 V,  Add P and Q vectorially for the group.</t>
  </si>
  <si>
    <t>For LED: Q = P·tan(cos⁻¹0.90)=0.288·tan(cos⁻¹0.90)=0.139
For fan: S=0.0207 kVA 
PF=0.020/0.0207≈0.966
Q=S·sin(cos⁻¹PF)=0.0207·sin(cos⁻¹0.966)=0.005351
P subtotal=0.308, Q subtotal=0.145, S subtotal =0.34, 0.905 lagging.</t>
  </si>
  <si>
    <t>No single manufacturer PF exists because this is an aggregate of laptops, monitor, printer, shredder, fan and miscellaneous office equipment. Use PF=0.90 lagging as a conservative aggregate assumption at this stage, not an AS/NZS 3000 value. 
ABB notes modern computer/SMPS office loads can be around PF 0.9, while Schneider shows motor PF can be lower and resistive loads ≈1; 0.90 avoids assuming beneficial reactive cancellation. 
https://library.e.abb.com/public/ba2689ca7969413a8e10f38101d5e337/9AKK107992A9345_Building Solutions_OFFICE_ebook_v3_small.pdf?x-sign=0FMZNAj2sfBW%2FdNZeJ7ZXfkONQtH7vvu2ZU7bNFXuyEuT505HUEgRl451gMcNUtc</t>
  </si>
  <si>
    <t>S = P/PF=3.9/0.9=4.333
Q = √(S²-P²)=1.889</t>
  </si>
  <si>
    <t>P=1.8kW, PF=1, Q=0, S01.8kVA</t>
  </si>
  <si>
    <t>Cisco datasheets do not provide a usable aggregate input PF for this combination. Use PF=0.90 lagging as a conservative concept-stage IT-load assumption. 
ABB notes modern computer/electronic office loads can be around PF 0.9; using lagging rather than assuming capacitive cancellation is conservative for transformer sizing. 
UPS output capacity is not additive; battery recharge is excluded from LF-01 normal operation. 
https://library.e.abb.com/public/ba2689ca7969413a8e10f38101d5e337/9AKK107992A9345_Building Solutions_OFFICE_ebook_v3_small.pdf?x-sign=0FMZNAj2sfBW%2FdNZeJ7ZXfkONQtH7vvu2ZU7bNFXuyEuT505HUEgRl451gMcNUtc</t>
  </si>
  <si>
    <t xml:space="preserve">HVAC: MHI gives max input 3.65 kW, 240 V and max current 17 A → S=4.08 kVA, PF=0.895, Q=1.82kVar
Fridge: 280 W, 240 V, 1.2 A → S=0.288 kVA, PF=0.972,Q=0.068kVar
Kettle and toaster treated as resistive, PF=1. Therefore, P=3.4kW, Q=0kVar
Microwave also assumed resistive: P=1.330kW, PF=1, S=1.330kVA, Q=0kVar
P subtotal = 3.65+0.75(3.65+0.280+3.400+1.330)=10.145 kW
Q subtotal = 1.82+0.75(1.82+0.068)=3.236 kVAr
S subtotal = √(P²+Q²)=10.65kVA
</t>
  </si>
  <si>
    <t>P=ΣPi; Q=ΣQi; S=√(P²+Q²); PF=P/S</t>
  </si>
  <si>
    <t>0.95 lagging</t>
  </si>
  <si>
    <t>P=0.166kW, PF=0.9, S=P/P​F=0.166​/0.9=0.185 kVA,
Q=√(S²-P²)=√(0.184²−0.166²)=0.080 kVAr</t>
  </si>
  <si>
    <t>Exact Pierlite PF is not stated in the published product data we have. Schneider gives LED lighting PF &gt;0.9; for concept design use the conservative lower-bound PF = 0.90.
https://www.electrical-installation.org/enwiki/Calculation_of_voltage_drop_in_steady_load_conditions</t>
  </si>
  <si>
    <t>P=0.96 kW, PF=0.90, S=P/PF=0.96/0.90=1.067 kVA,
Q=√(S²−P²)=√(1.067²−0.96²)=0.465 kVAr</t>
  </si>
  <si>
    <t>P=15.25 kW, PF=0.80, S=P/PF=15.25/0.80=19.063 kVA,
Q=√(S²−P²)=√(19.063²−15.25²)=11.438 kVAr</t>
  </si>
  <si>
    <t>https://molnarhoists.com.au/product/cm245-a-2-post-symmetrical-car-hoist-4-5tonne/
https://witmermotor.com/products/00318et3wal100lff-w22-weg-4hp-3kw-iec-tru-metric-electric-motor-1800rpm?variant=43915733270621</t>
  </si>
  <si>
    <t>11 kW mechanical output</t>
  </si>
  <si>
    <t>Maximum Demand Treatment / Contribution</t>
  </si>
  <si>
    <t>Calculated at Table C2 group (d)</t>
  </si>
  <si>
    <t>From Molnar CM245-A retained: 4.5 t vehicle hoist, 3 kW motor output, 3-phase 50 Hz, 7 A. Molnar did not provide efficiency and PF data.
Therefore, motor electrical input estimated from 3 kW mechanical output using η = 0.88 and PF = 0.80 lagging, based on representative 3 kW, 415 V industrial induction motor data. 
Manufacturer-listed 7 A kept as equipment supply-current reference.</t>
  </si>
  <si>
    <t>https://www.grifco.com.au/product/e-drive/
https://library.e.abb.com/public/108586d435f94a29965936dca57eaa16/0.75kw%204p.pdf?x-sign=l5lqmqRGKb9aCrxKkCd+Zdzmwvxm5EfCVWsfyEoX5F8i6I5IIKUG4gk2OBsCwxOW</t>
  </si>
  <si>
    <t>0.75 kW Mechanical output</t>
  </si>
  <si>
    <t>3 kW Mechanical output</t>
  </si>
  <si>
    <t>I. Compressor(Largest): S = √3VI; P = S·PF; Q = √(S²-P²)
Pin=11/0.898=12.25 kW, PF=0.81, S=P/PF=12.25/0.81=15.123 kVA, Q=√(S²−P²)=√(15.123²−12.25²)=8.869 kVAr.
Full load.
II. Hoist(Second largest):
Pin=3/0.88=3.409 kW,  S=√3VI=√3×415×7/1000=5.032kVA, Q=√(S²−P²)=√(5.032²−3.409²)=3.70 kVAr, PF=P/S=3.409/5.032=0.677
75% Load
III. Roller doors(Remainder):
Pin=0.75/0.68=1.103 kW, S=√3VI=1.653kVA, Q=√(S²−P²)=√(1.653²−1.103²)=1.231 kVAr, PF=0.667
2 roller doors with 50% load each.</t>
  </si>
  <si>
    <t>Highest: full load; Second highest: 75% load; remainder: 50% full load.Calculated motor-by-motor; 
I. Compressor: 
1. Atlas Copco G11 retained; 11 kW installed motor, 100% duty capability. Final connected electrical load should use actual package FLC/PF/efficiency, not simply treat 11 kW shaft/motor rating as exact grid input. 
2. No specific efficiency data, use ABB motors as reference.
From ABB  Motor 11 kW、415 V、50 Hz、4-pole: (rated current = 21 A, PF = 0.81, efficiency = 89.8%). 
II. Hoist: 
From Molnar CM245-A retained: 4.5 t vehicle hoist, 3 kW motor output, 3-phase 50 Hz, 7 A. Molnar did not provide efficiency and PF data.
Therefore, motor electrical input estimated from 3 kW mechanical output using η = 0.88, based on representative 3 kW, 415 V industrial induction motor data. Estimation data from Witmer
Manufacturer-listed 7 A kept as equipment supply-current reference
III. Roller Doors:
Grifco ML6103 E-Drive: motor rating 0.75 kW, 415 V 3φ, 2.3 A, but does not provide efficiency or power factor.
Therefore electrical input conservatively estimated assuming η=0.667, based on representative 0.75 kW, 415 V induction motor data, data from ABB.</t>
  </si>
  <si>
    <t>0.777 lagging</t>
  </si>
  <si>
    <t>Lincoln Powercraft 250M gives Ieff = 15 A, 240 V and PF = 0.99. AS/NZS 3000 MD uses the rated primary/effective current.
https://powercraft-lincolnelectric.com.au/wp-content/uploads/2023/05/IM7908-14-Powercraft-250M-Operator-Manual.pdf</t>
  </si>
  <si>
    <t>S=240×15=3.6S=24015=3.6 kVA
P=S*PF=3.6×0.99=3.564
Q=√(S²−P²)=√(3.600²−3.564²)=0.508 kVAr</t>
  </si>
  <si>
    <t>Nederman FE840 documentation identifies a 230/240 V, 1 kW motor, but does not publish a usable PF. Use PF = 0.80 lagging as conservative assumption; replace with actual input current/PF if obtained. 
https://www.nederman.com/catalog-images/resources/423438/original/user manual - fe840-fe841_423438.pdf</t>
  </si>
  <si>
    <t>P=1.000 kW, PF=0.80, S=P/PF=1.000/0.80=1.250 kVA, Q=√(S²−P²)=√(1.250²−1.000²)=0.750 kVAr</t>
  </si>
  <si>
    <t>0.99 lagging</t>
  </si>
  <si>
    <t>LED-driver load. Published MaxiMaster data confirm the 100 W LED floodlight but no PF provided; use generic LED PF &gt;0.9, conservatively set to 0.90. Emergency/exit load is only 24 W, so using the same equivalent PF is immaterial at this stage.
https://shop.cnw.com.au/medias/Pierlite-MaxiMaster-Floodlight-Gen3-Datasheet.pdf?context=bWFzdGVyfHJvb3R8NDQwMDAxMHxhcHBsaWNhdGlvbi9wZGZ8YURCaEwyaGtPUzh4TURnMU16WXpNVE01TXpneU1pOVFhV1Z5YkdsMFpTQk5ZWGhwVFdGemRHVnlJRVpzYjI5a2JHbG5hSFFnUjJWdU15QXRJRVJoZEdGemFHVmxkQzV3WkdZfDAwOGViYTRmOWY3Mjc2N2QwODY2OTVjODk2ZjUzNjMzZTEyZDhhYTkxNzNmNDhkOGQ3NmM3ZjhlY2FiODM0ZGQ</t>
  </si>
  <si>
    <t>P=0.424 kW, PF=0.90,S=P/PF=0.424/0.90=0.471 kVA, Q=√(S²−P²)=√(0.471²−0.424²)=0.205 kVAr</t>
  </si>
  <si>
    <t>Office Feeder</t>
  </si>
  <si>
    <t>Workshoop Feeder</t>
  </si>
  <si>
    <t>0.815 lagging</t>
  </si>
  <si>
    <t>Load Flow Input Summary</t>
  </si>
  <si>
    <t xml:space="preserve">External 
</t>
  </si>
  <si>
    <t>https://library.e.abb.com/public/ba2689ca7969413a8e10f38101d5e337/9AKK107992A9345_Building Solutions_OFFICE_ebook_v3_small.pdf?x-sign=0FMZNAj2sfBW%2FdNZeJ7ZXfkONQtH7vvu2ZU7bNFXuyEuT505HUEgRl451gMcNUtc</t>
  </si>
  <si>
    <t>https://www.electrical-installation.org/enwiki/Practical_values_of_power_factor</t>
  </si>
  <si>
    <t>https://www.electrical-installation.org/enwiki/Calculation_of_voltage_drop_in_steady_load_conditions</t>
  </si>
  <si>
    <t>https://powercraft-lincolnelectric.com.au/wp-content/uploads/2023/05/IM7908-14-Powercraft-250M-Operator-Manual.pdf</t>
  </si>
  <si>
    <t>https://www.nederman.com/catalog-images/resources/423438/original/user manual - fe840-fe841_423438.pdf</t>
  </si>
  <si>
    <t>https://shop.cnw.com.au/medias/Pierlite-MaxiMaster-Floodlight-Gen3-Datasheet.pdf?context=bWFzdGVyfHJvb3R8NDQwMDAxMHxhcHBsaWNhdGlvbi9wZGZ8YURCaEwyaGtPUzh4TURnMU16WXpNVE01TXpneU1pOVFhV1Z5YkdsMFpTQk5ZWGhwVFdGemRHVnlJRVpzYjI5a2JHbG5hSFFnUjJWdU15QXRJRVJoZEdGemFHVmxkQzV3WkdZfDAwOGViYTRmOWY3Mjc2N2QwODY2OTVjODk2ZjUzNjMzZTEyZDhhYTkxNzNmNDhkOGQ3NmM3ZjhlY2FiODM0ZGQ</t>
  </si>
  <si>
    <t>Exit signs 4.6 W each; emergency luminaires 2.5 W each</t>
  </si>
  <si>
    <t>240 V, 1φ; I effective =15 A; PF=0.99</t>
  </si>
  <si>
    <t>Lincoln Powercraft 250M: 240 V / 15 A, general maintenance/fabrication application.</t>
  </si>
  <si>
    <t>1. Atlas Copco G11 retained; 11 kW installed motor, 100% duty capability. Final connected electrical load should use actual package FLC/PF/efficiency, not simply treat 11 kW shaft/motor rating as exact grid input. 
2. No specific efficiency data, use ABB motors as reference.</t>
  </si>
  <si>
    <t>Bromic UBC0140SD-NR commercial underbench fridge. Manufacturer gives 138 L, 220–240 V, 1.2 A; current user manual gives 280 W electrical power 
Suitable as a conceptual small-office commercial refrigerator, sizing is an engineering assumption</t>
  </si>
  <si>
    <t>Grifco ML6103 E-Drive: 0.75 kW, 415 V 3φ, 2.3 A, low-cycle, max door 36 m².
Qty 2 adopted as conceptual two-bay access arrangement, supported by comparable Australian 15×18 m workshop designs using two roller doors.
Manufacturer Grifco specifies 0.75 kW motor rating and 2.3 A but does not provide efficiency or power factor.
≈1.65 kVA each; ≈3.31 kVA total
Electrical input estimated assuming η=0.68, based on representative 0.75 kW, 415 V induction motor data, data from ABB</t>
  </si>
  <si>
    <t>Reference List</t>
  </si>
  <si>
    <t>Note: Loads are grouped by physical location for equipment identification only. Load-group classification and maximum demand calculations are addressed separately.</t>
  </si>
  <si>
    <t>100% concept connected load; treated conservatively as lighting load for MD. Emergency system design governed by NCC Part E4 and AS/NZS 2293.1:2026</t>
  </si>
  <si>
    <t xml:space="preserve">Calculated component-by-component. 
Apply AS/NZS 3000 MD factors to both P and Q: largest appliance 100%, remainder 75%.
HVAC: MHI gives max input 3.65 kW, 240 V and max current 17 A → S=4.08S=4.08 kVA, PF≈0.895PF≈0.895.
Fridge: 280 W, 240 V, 1.2 A → S=0.288S=0.288 kVA, PF≈0.972PF≈0.972.
Kettle/toaster treated as resistive, PF≈1. 
Microwave manufacturer gives 1300–1400 W and 5.4–6.1 A over 230–240 V, therfore assuming approximately unity PF at rated condition. 
</t>
  </si>
  <si>
    <t>https://www.rheem.com.au/rheem/products/Residential/Electric/Rheem-111-191-Series-Electric/Rheem-50L-Electric-Water-Heater/p/191050G4</t>
  </si>
  <si>
    <r>
      <t>Not part of current maximum demand.</t>
    </r>
    <r>
      <rPr>
        <sz val="12"/>
        <color theme="1"/>
        <rFont val="Arial"/>
        <family val="2"/>
      </rPr>
      <t xml:space="preserve"> Future capacity is handled separately as design spare / future scenario</t>
    </r>
  </si>
  <si>
    <t>Notes:
1. This table provides the detailed maximum-demand analysis and derives the P, Q, S and PF values required for power factory load-flow modelling.
2. P, Q, S and PF represent the Rev 01 maximum-demand values adopted for load-flow analysis. They do not represent raw connected loads or equipment nameplate ratings. Positive Q denotes lagging reactive-power demand.
3. The External Feeder is temporarily incorporated into the Office Feeder calculation. A dedicated External Feeder will be assessed once the final external loads are confirmed.</t>
  </si>
  <si>
    <t>Rev 01</t>
  </si>
  <si>
    <t>0.861 lagging</t>
  </si>
  <si>
    <t>P=36.684 kW, Q=26.036 kVAr, S=44.984 kVA, PF=0.815 lagging</t>
  </si>
  <si>
    <t>P=16.743 kW, Q=5.555 kVAr, S=17.641 kVA, PF=0.949 lagging</t>
  </si>
  <si>
    <t>P=53.427 kW, Q=31.591 kVAr, S=62.068 kVA, PF=0.861 lagging</t>
  </si>
  <si>
    <t>Total:</t>
  </si>
  <si>
    <t>62.068 kVA</t>
  </si>
  <si>
    <t>77.585 kVA</t>
  </si>
  <si>
    <t xml:space="preserve">Rev 01 Maximum Demand </t>
  </si>
  <si>
    <t>Load &amp; Maximum Demand and Input Analysis</t>
  </si>
  <si>
    <t>Description of Changes</t>
  </si>
  <si>
    <t>Rev 00</t>
  </si>
  <si>
    <t>Initial preliminary issue</t>
  </si>
  <si>
    <t>Document Control</t>
  </si>
  <si>
    <t>Version Control</t>
  </si>
  <si>
    <t>Updated load inputs, feeder allocation and maximum demand results; updated preliminary transformer sizing basis.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</si>
</sst>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2"/>
      <color theme="10"/>
      <name val="Arial"/>
      <family val="2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6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0" borderId="0" xfId="1" applyFont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9" fontId="4" fillId="0" borderId="2" xfId="0" applyNumberFormat="1" applyFont="1" applyBorder="1" applyAlignment="1">
      <alignment horizontal="left" vertical="top" wrapText="1"/>
    </xf>
    <xf numFmtId="10" fontId="4" fillId="0" borderId="2" xfId="0" applyNumberFormat="1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15" fontId="4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6" fillId="0" borderId="0" xfId="1" applyFont="1" applyAlignment="1">
      <alignment horizontal="left" vertical="center"/>
    </xf>
    <xf numFmtId="0" fontId="10" fillId="0" borderId="0" xfId="0" applyFont="1" applyAlignment="1">
      <alignment horizontal="center" vertical="top"/>
    </xf>
    <xf numFmtId="0" fontId="6" fillId="0" borderId="0" xfId="1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isco.com/c/en/us/products/collateral/switches/catalyst-1200-series-switches/nb-06-cat1200-ser-data-sheet-cte-en.html" TargetMode="External"/><Relationship Id="rId13" Type="http://schemas.openxmlformats.org/officeDocument/2006/relationships/hyperlink" Target="https://www.panasonic.com/au/consumer/household/microwave-ovens/microwave-only/nn-st34nwqpq.specs.html" TargetMode="External"/><Relationship Id="rId18" Type="http://schemas.openxmlformats.org/officeDocument/2006/relationships/hyperlink" Target="https://molnarhoists.com.au/product/cm245-a-2-post-symmetrical-car-hoist-4-5tonne/" TargetMode="External"/><Relationship Id="rId26" Type="http://schemas.openxmlformats.org/officeDocument/2006/relationships/hyperlink" Target="https://pierlite.com.au/resources/Resource%20Assets/Pierlite%20Fast%20Movers%20FY%202024-2025%20%28MED%20RES%29.pdf" TargetMode="External"/><Relationship Id="rId3" Type="http://schemas.openxmlformats.org/officeDocument/2006/relationships/hyperlink" Target="https://www.brother.com.au/-/media/ap2/australia/products/common/brochures/mfc-l2880dw-xl---brochure.pdf?rev=a66a68b91af14ebd89b4b52721340515" TargetMode="External"/><Relationship Id="rId21" Type="http://schemas.openxmlformats.org/officeDocument/2006/relationships/hyperlink" Target="https://www.urbanutilities.com.au/sfsites/c/cms/delivery/media/MCS2XRTMIP25DOVBL5VMJWJL4KD4" TargetMode="External"/><Relationship Id="rId7" Type="http://schemas.openxmlformats.org/officeDocument/2006/relationships/hyperlink" Target="https://www.mhiaa.com.au/products/series/split-system-air-conditioners-bronte-series/" TargetMode="External"/><Relationship Id="rId12" Type="http://schemas.openxmlformats.org/officeDocument/2006/relationships/hyperlink" Target="https://www.breville.com/au/en/product/bke765?sku=BKE765BSS4JAN1" TargetMode="External"/><Relationship Id="rId17" Type="http://schemas.openxmlformats.org/officeDocument/2006/relationships/hyperlink" Target="https://www.atlascopco.com/en-au/compressors/air-compressor/2-18kw-screw-compressor/11-kw-screw-air-compressor" TargetMode="External"/><Relationship Id="rId25" Type="http://schemas.openxmlformats.org/officeDocument/2006/relationships/hyperlink" Target="https://pierlite.com.au/resources/Resource%20Assets/Pierlite%20Fast%20Movers%20February%202025_Medium%20Res.pdf" TargetMode="External"/><Relationship Id="rId2" Type="http://schemas.openxmlformats.org/officeDocument/2006/relationships/hyperlink" Target="https://www.dell.com/en-au/shop/dell-65w-usb-c-adapter/apd/450-bfxc/pc-accessories?msockid=0421427fe1226c8d0ea554d9e0d36d92" TargetMode="External"/><Relationship Id="rId16" Type="http://schemas.openxmlformats.org/officeDocument/2006/relationships/hyperlink" Target="https://properties.curtin.edu.au/wp-content/uploads/sites/5/2021/02/electrical-services-guidelines-v4-aug.pdf" TargetMode="External"/><Relationship Id="rId20" Type="http://schemas.openxmlformats.org/officeDocument/2006/relationships/hyperlink" Target="https://www.worksafe.wa.gov.au/local-exhaust-ventilation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properties.curtin.edu.au/wp-content/uploads/sites/5/2021/02/electrical-services-guidelines-v4-aug.pdf" TargetMode="External"/><Relationship Id="rId6" Type="http://schemas.openxmlformats.org/officeDocument/2006/relationships/hyperlink" Target="https://www.fantech.com.au/FanDataPrint.aspx?MountingID=WE&amp;Pid=SILDES300CZ3C-S&amp;Product=silent-design-series&amp;RangeID=2027" TargetMode="External"/><Relationship Id="rId11" Type="http://schemas.openxmlformats.org/officeDocument/2006/relationships/hyperlink" Target="https://www.ijk.com.au/branch/ijk/product/162487p280_711/SMT1500IC.html" TargetMode="External"/><Relationship Id="rId24" Type="http://schemas.openxmlformats.org/officeDocument/2006/relationships/hyperlink" Target="https://www.milwaukeetool.com.au/on/demandware.static/-/Sites/en_AU/v1749844943985/ProductResources/Powertools/Battery%20%26%20Chargers/M18DBSC-User-Manual.pdf" TargetMode="External"/><Relationship Id="rId5" Type="http://schemas.openxmlformats.org/officeDocument/2006/relationships/hyperlink" Target="https://www.dimplex.com.au/sites/g/files/emiian331/files/2020-08/DimplexCooling_Specs-2020-21_DCACP30DC.pdf" TargetMode="External"/><Relationship Id="rId15" Type="http://schemas.openxmlformats.org/officeDocument/2006/relationships/hyperlink" Target="https://portalimages.blob.core.windows.net/products/pdfs/5fkmyx5w_UBC0140SD-NR_SPEC_0525.pdf" TargetMode="External"/><Relationship Id="rId23" Type="http://schemas.openxmlformats.org/officeDocument/2006/relationships/hyperlink" Target="https://www.buildinginformationgateway.com.au/library/as-1668.4-2024-the-use-of-ventilation-and-airconditioning-in-buildings-part-4-natural-ventilation-of-buildings" TargetMode="External"/><Relationship Id="rId28" Type="http://schemas.openxmlformats.org/officeDocument/2006/relationships/hyperlink" Target="https://www.rheem.com.au/rheem/products/Residential/Electric/Rheem-111-191-Series-Electric/Rheem-50L-Electric-Water-Heater/p/191050G4" TargetMode="External"/><Relationship Id="rId10" Type="http://schemas.openxmlformats.org/officeDocument/2006/relationships/hyperlink" Target="https://www.se.com/au/en/product/SMT1500IC/apc-smartups-line-interactive-1500va-tower-230v-8x-iec-c13-outlets-smartconnect-port%2Bsmartslot-avr-lcd/" TargetMode="External"/><Relationship Id="rId19" Type="http://schemas.openxmlformats.org/officeDocument/2006/relationships/hyperlink" Target="https://ch-delivery.lincolnelectric.com/api/public/content/55d9de03fb674f248c2313e9a9df607f?v=2acb76f5" TargetMode="External"/><Relationship Id="rId4" Type="http://schemas.openxmlformats.org/officeDocument/2006/relationships/hyperlink" Target="https://www.shreddersonline.com.au/home-office/181-fellowes-99ci-cross-shredder.html" TargetMode="External"/><Relationship Id="rId9" Type="http://schemas.openxmlformats.org/officeDocument/2006/relationships/hyperlink" Target="https://www.cisco.com/c/en/us/products/collateral/routers/1000-series-integrated-services-routers-isr/datasheet-c78-739512.html" TargetMode="External"/><Relationship Id="rId14" Type="http://schemas.openxmlformats.org/officeDocument/2006/relationships/hyperlink" Target="https://www.breville.com/en-au/product/bta735?sku=BTA735SSB2IAN1" TargetMode="External"/><Relationship Id="rId22" Type="http://schemas.openxmlformats.org/officeDocument/2006/relationships/hyperlink" Target="https://www.grifco.com.au/product/e-drive/" TargetMode="External"/><Relationship Id="rId27" Type="http://schemas.openxmlformats.org/officeDocument/2006/relationships/hyperlink" Target="https://www.uwa.edu.au/about/-/media/project/uwa/uwa/about/docs/campus-management/facilities-management/c-uwa-design-and-construction-standards-electrical-services-2-2.pdf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derman.com/catalog-images/resources/423438/original/user%20manual%20-%20fe840-fe841_423438.pdf" TargetMode="External"/><Relationship Id="rId3" Type="http://schemas.openxmlformats.org/officeDocument/2006/relationships/hyperlink" Target="https://www.electrical-installation.org/enwiki/Practical_values_of_power_factor" TargetMode="External"/><Relationship Id="rId7" Type="http://schemas.openxmlformats.org/officeDocument/2006/relationships/hyperlink" Target="https://powercraft-lincolnelectric.com.au/wp-content/uploads/2023/05/IM7908-14-Powercraft-250M-Operator-Manual.pdf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www.mhiaa.com.au/products/series/split-system-air-conditioners-bronte-series/" TargetMode="External"/><Relationship Id="rId1" Type="http://schemas.openxmlformats.org/officeDocument/2006/relationships/hyperlink" Target="https://library.e.abb.com/public/ba2689ca7969413a8e10f38101d5e337/9AKK107992A9345_Building%20Solutions_OFFICE_ebook_v3_small.pdf?x-sign=0FMZNAj2sfBW%2FdNZeJ7ZXfkONQtH7vvu2ZU7bNFXuyEuT505HUEgRl451gMcNUtc" TargetMode="External"/><Relationship Id="rId6" Type="http://schemas.openxmlformats.org/officeDocument/2006/relationships/hyperlink" Target="https://www.electrical-installation.org/enwiki/Practical_values_of_power_factor" TargetMode="External"/><Relationship Id="rId11" Type="http://schemas.openxmlformats.org/officeDocument/2006/relationships/hyperlink" Target="https://www.mhiaa.com.au/products/series/split-system-air-conditioners-bronte-series/" TargetMode="External"/><Relationship Id="rId5" Type="http://schemas.openxmlformats.org/officeDocument/2006/relationships/hyperlink" Target="https://www.electrical-installation.org/enwiki/Calculation_of_voltage_drop_in_steady_load_conditions" TargetMode="External"/><Relationship Id="rId10" Type="http://schemas.openxmlformats.org/officeDocument/2006/relationships/hyperlink" Target="https://pierlite.com.au/resources/Resource%20Assets/Pierlite%20Fast%20Movers%20February%202025_Medium%20Res.pdf" TargetMode="External"/><Relationship Id="rId4" Type="http://schemas.openxmlformats.org/officeDocument/2006/relationships/hyperlink" Target="https://library.e.abb.com/public/ba2689ca7969413a8e10f38101d5e337/9AKK107992A9345_Building%20Solutions_OFFICE_ebook_v3_small.pdf?x-sign=0FMZNAj2sfBW%2FdNZeJ7ZXfkONQtH7vvu2ZU7bNFXuyEuT505HUEgRl451gMcNUtc" TargetMode="External"/><Relationship Id="rId9" Type="http://schemas.openxmlformats.org/officeDocument/2006/relationships/hyperlink" Target="https://shop.cnw.com.au/medias/Pierlite-MaxiMaster-Floodlight-Gen3-Datasheet.pdf?context=bWFzdGVyfHJvb3R8NDQwMDAxMHxhcHBsaWNhdGlvbi9wZGZ8YURCaEwyaGtPUzh4TURnMU16WXpNVE01TXpneU1pOVFhV1Z5YkdsMFpTQk5ZWGhwVFdGemRHVnlJRVpzYjI5a2JHbG5hSFFnUjJWdU15QXRJRVJoZEdGemFHVmxkQzV3WkdZfDAwOGViYTRmOWY3Mjc2N2QwODY2OTVjODk2ZjUzNjMzZTEyZDhhYTkxNzNmNDhkOGQ3NmM3ZjhlY2FiODM0ZG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27520-0354-2F44-9BE8-805F1D371666}">
  <dimension ref="A1:C14"/>
  <sheetViews>
    <sheetView tabSelected="1" zoomScaleNormal="100" workbookViewId="0">
      <selection activeCell="L15" sqref="L15"/>
    </sheetView>
  </sheetViews>
  <sheetFormatPr baseColWidth="10" defaultColWidth="11" defaultRowHeight="16" x14ac:dyDescent="0.2"/>
  <cols>
    <col min="1" max="1" width="13.33203125" style="2" customWidth="1"/>
    <col min="2" max="2" width="38.33203125" style="2" customWidth="1"/>
    <col min="3" max="3" width="10.83203125" style="2" bestFit="1" customWidth="1"/>
    <col min="4" max="16384" width="11" style="2"/>
  </cols>
  <sheetData>
    <row r="1" spans="1:3" x14ac:dyDescent="0.2">
      <c r="A1" s="28" t="s">
        <v>388</v>
      </c>
      <c r="B1" s="28"/>
    </row>
    <row r="2" spans="1:3" ht="17" x14ac:dyDescent="0.2">
      <c r="A2" s="22" t="s">
        <v>256</v>
      </c>
      <c r="B2" s="22" t="s">
        <v>257</v>
      </c>
    </row>
    <row r="3" spans="1:3" ht="51" x14ac:dyDescent="0.2">
      <c r="A3" s="20" t="s">
        <v>258</v>
      </c>
      <c r="B3" s="20" t="s">
        <v>266</v>
      </c>
    </row>
    <row r="4" spans="1:3" ht="34" x14ac:dyDescent="0.2">
      <c r="A4" s="20" t="s">
        <v>259</v>
      </c>
      <c r="B4" s="20" t="s">
        <v>384</v>
      </c>
    </row>
    <row r="5" spans="1:3" ht="17" x14ac:dyDescent="0.2">
      <c r="A5" s="20" t="s">
        <v>260</v>
      </c>
      <c r="B5" s="20" t="s">
        <v>109</v>
      </c>
    </row>
    <row r="6" spans="1:3" ht="17" x14ac:dyDescent="0.2">
      <c r="A6" s="20" t="s">
        <v>261</v>
      </c>
      <c r="B6" s="20" t="s">
        <v>375</v>
      </c>
    </row>
    <row r="7" spans="1:3" ht="17" x14ac:dyDescent="0.2">
      <c r="A7" s="20" t="s">
        <v>262</v>
      </c>
      <c r="B7" s="20" t="s">
        <v>265</v>
      </c>
    </row>
    <row r="8" spans="1:3" ht="17" x14ac:dyDescent="0.2">
      <c r="A8" s="20" t="s">
        <v>263</v>
      </c>
      <c r="B8" s="21">
        <v>46282</v>
      </c>
    </row>
    <row r="9" spans="1:3" ht="17" x14ac:dyDescent="0.2">
      <c r="A9" s="20" t="s">
        <v>264</v>
      </c>
      <c r="B9" s="20" t="s">
        <v>383</v>
      </c>
    </row>
    <row r="11" spans="1:3" ht="16" customHeight="1" x14ac:dyDescent="0.2">
      <c r="A11" s="28" t="s">
        <v>389</v>
      </c>
      <c r="B11" s="28"/>
      <c r="C11" s="28"/>
    </row>
    <row r="12" spans="1:3" ht="17" x14ac:dyDescent="0.2">
      <c r="A12" s="19" t="s">
        <v>261</v>
      </c>
      <c r="B12" s="19" t="s">
        <v>385</v>
      </c>
      <c r="C12" s="19" t="s">
        <v>263</v>
      </c>
    </row>
    <row r="13" spans="1:3" ht="17" x14ac:dyDescent="0.2">
      <c r="A13" s="20" t="s">
        <v>386</v>
      </c>
      <c r="B13" s="20" t="s">
        <v>387</v>
      </c>
      <c r="C13" s="20" t="s">
        <v>1</v>
      </c>
    </row>
    <row r="14" spans="1:3" ht="51" x14ac:dyDescent="0.2">
      <c r="A14" s="20" t="s">
        <v>375</v>
      </c>
      <c r="B14" s="20" t="s">
        <v>390</v>
      </c>
      <c r="C14" s="21">
        <v>46282</v>
      </c>
    </row>
  </sheetData>
  <mergeCells count="2">
    <mergeCell ref="A1:B1"/>
    <mergeCell ref="A11:C1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11567-A807-6E40-B754-2A88C89430F4}">
  <dimension ref="A1:B15"/>
  <sheetViews>
    <sheetView workbookViewId="0">
      <selection activeCell="B24" sqref="B24"/>
    </sheetView>
  </sheetViews>
  <sheetFormatPr baseColWidth="10" defaultColWidth="11" defaultRowHeight="16" x14ac:dyDescent="0.2"/>
  <cols>
    <col min="1" max="1" width="38.5" style="14" bestFit="1" customWidth="1"/>
    <col min="2" max="2" width="41.5" style="14" customWidth="1"/>
    <col min="3" max="16384" width="11" style="14"/>
  </cols>
  <sheetData>
    <row r="1" spans="1:2" ht="17" x14ac:dyDescent="0.2">
      <c r="A1" s="15" t="s">
        <v>36</v>
      </c>
      <c r="B1" s="15" t="s">
        <v>37</v>
      </c>
    </row>
    <row r="2" spans="1:2" ht="17" x14ac:dyDescent="0.2">
      <c r="A2" s="16" t="s">
        <v>261</v>
      </c>
      <c r="B2" s="16" t="s">
        <v>375</v>
      </c>
    </row>
    <row r="3" spans="1:2" ht="17" x14ac:dyDescent="0.2">
      <c r="A3" s="16" t="s">
        <v>38</v>
      </c>
      <c r="B3" s="16" t="s">
        <v>381</v>
      </c>
    </row>
    <row r="4" spans="1:2" ht="17" x14ac:dyDescent="0.2">
      <c r="A4" s="16" t="s">
        <v>39</v>
      </c>
      <c r="B4" s="17">
        <v>0.25</v>
      </c>
    </row>
    <row r="5" spans="1:2" ht="17" x14ac:dyDescent="0.2">
      <c r="A5" s="16" t="s">
        <v>40</v>
      </c>
      <c r="B5" s="16" t="s">
        <v>382</v>
      </c>
    </row>
    <row r="6" spans="1:2" ht="17" x14ac:dyDescent="0.2">
      <c r="A6" s="16" t="s">
        <v>41</v>
      </c>
      <c r="B6" s="16" t="s">
        <v>42</v>
      </c>
    </row>
    <row r="7" spans="1:2" ht="17" x14ac:dyDescent="0.2">
      <c r="A7" s="16" t="s">
        <v>43</v>
      </c>
      <c r="B7" s="18">
        <v>0.62009999999999998</v>
      </c>
    </row>
    <row r="8" spans="1:2" ht="17" x14ac:dyDescent="0.2">
      <c r="A8" s="16" t="s">
        <v>44</v>
      </c>
      <c r="B8" s="18">
        <v>0.77580000000000005</v>
      </c>
    </row>
    <row r="9" spans="1:2" ht="17" x14ac:dyDescent="0.2">
      <c r="A9" s="16" t="s">
        <v>45</v>
      </c>
      <c r="B9" s="16" t="s">
        <v>46</v>
      </c>
    </row>
    <row r="12" spans="1:2" x14ac:dyDescent="0.2">
      <c r="A12" s="29" t="s">
        <v>354</v>
      </c>
      <c r="B12" s="29"/>
    </row>
    <row r="13" spans="1:2" ht="34" x14ac:dyDescent="0.2">
      <c r="A13" s="16" t="s">
        <v>351</v>
      </c>
      <c r="B13" s="16" t="s">
        <v>378</v>
      </c>
    </row>
    <row r="14" spans="1:2" ht="34" x14ac:dyDescent="0.2">
      <c r="A14" s="16" t="s">
        <v>352</v>
      </c>
      <c r="B14" s="16" t="s">
        <v>377</v>
      </c>
    </row>
    <row r="15" spans="1:2" ht="34" x14ac:dyDescent="0.2">
      <c r="A15" s="16" t="s">
        <v>380</v>
      </c>
      <c r="B15" s="16" t="s">
        <v>379</v>
      </c>
    </row>
  </sheetData>
  <mergeCells count="1">
    <mergeCell ref="A12:B12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EC568-7B21-434A-911C-AB9638448869}">
  <dimension ref="A1:K67"/>
  <sheetViews>
    <sheetView zoomScaleNormal="100" workbookViewId="0">
      <pane ySplit="1" topLeftCell="A2" activePane="bottomLeft" state="frozen"/>
      <selection pane="bottomLeft" activeCell="I5" sqref="I5"/>
    </sheetView>
  </sheetViews>
  <sheetFormatPr baseColWidth="10" defaultColWidth="10.83203125" defaultRowHeight="16" x14ac:dyDescent="0.2"/>
  <cols>
    <col min="1" max="1" width="20.5" style="2" customWidth="1"/>
    <col min="2" max="2" width="10.33203125" style="2" bestFit="1" customWidth="1"/>
    <col min="3" max="3" width="23.33203125" style="2" customWidth="1"/>
    <col min="4" max="4" width="17.83203125" style="2" bestFit="1" customWidth="1"/>
    <col min="5" max="5" width="9.1640625" style="2" customWidth="1"/>
    <col min="6" max="6" width="16" style="2" customWidth="1"/>
    <col min="7" max="7" width="17.1640625" style="2" customWidth="1"/>
    <col min="8" max="8" width="36.33203125" style="2" customWidth="1"/>
    <col min="9" max="9" width="31.5" style="2" customWidth="1"/>
    <col min="10" max="10" width="60.83203125" style="2" customWidth="1"/>
    <col min="11" max="11" width="12.33203125" style="2" customWidth="1"/>
    <col min="12" max="16384" width="10.83203125" style="2"/>
  </cols>
  <sheetData>
    <row r="1" spans="1:11" ht="34" x14ac:dyDescent="0.2">
      <c r="A1" s="13" t="s">
        <v>0</v>
      </c>
      <c r="B1" s="13" t="s">
        <v>175</v>
      </c>
      <c r="C1" s="13" t="s">
        <v>47</v>
      </c>
      <c r="D1" s="13" t="s">
        <v>4</v>
      </c>
      <c r="E1" s="13" t="s">
        <v>33</v>
      </c>
      <c r="F1" s="13" t="s">
        <v>34</v>
      </c>
      <c r="G1" s="13" t="s">
        <v>173</v>
      </c>
      <c r="H1" s="13" t="s">
        <v>174</v>
      </c>
      <c r="I1" s="13" t="s">
        <v>335</v>
      </c>
      <c r="J1" s="13" t="s">
        <v>176</v>
      </c>
      <c r="K1" s="13" t="s">
        <v>177</v>
      </c>
    </row>
    <row r="2" spans="1:11" ht="51" x14ac:dyDescent="0.2">
      <c r="A2" s="1" t="s">
        <v>2</v>
      </c>
      <c r="B2" s="2" t="s">
        <v>178</v>
      </c>
      <c r="C2" s="2" t="s">
        <v>12</v>
      </c>
      <c r="D2" s="2" t="s">
        <v>51</v>
      </c>
      <c r="E2" s="2" t="s">
        <v>48</v>
      </c>
      <c r="F2" s="2" t="s">
        <v>84</v>
      </c>
      <c r="G2" s="2" t="s">
        <v>84</v>
      </c>
      <c r="H2" s="2" t="s">
        <v>235</v>
      </c>
      <c r="I2" s="1" t="s">
        <v>130</v>
      </c>
      <c r="J2" s="2" t="s">
        <v>269</v>
      </c>
      <c r="K2" s="2" t="s">
        <v>179</v>
      </c>
    </row>
    <row r="3" spans="1:11" ht="51" x14ac:dyDescent="0.2">
      <c r="A3" s="1" t="s">
        <v>2</v>
      </c>
      <c r="B3" s="2" t="s">
        <v>181</v>
      </c>
      <c r="C3" s="2" t="s">
        <v>5</v>
      </c>
      <c r="D3" s="2">
        <v>8</v>
      </c>
      <c r="E3" s="2" t="s">
        <v>48</v>
      </c>
      <c r="F3" s="2" t="s">
        <v>6</v>
      </c>
      <c r="G3" s="2" t="s">
        <v>49</v>
      </c>
      <c r="H3" s="2" t="s">
        <v>235</v>
      </c>
      <c r="I3" s="2" t="s">
        <v>254</v>
      </c>
      <c r="J3" s="2" t="s">
        <v>270</v>
      </c>
      <c r="K3" s="2" t="s">
        <v>208</v>
      </c>
    </row>
    <row r="4" spans="1:11" ht="51" x14ac:dyDescent="0.2">
      <c r="A4" s="1" t="s">
        <v>2</v>
      </c>
      <c r="B4" s="2" t="s">
        <v>182</v>
      </c>
      <c r="C4" s="2" t="s">
        <v>7</v>
      </c>
      <c r="D4" s="2">
        <v>1</v>
      </c>
      <c r="E4" s="2" t="s">
        <v>48</v>
      </c>
      <c r="F4" s="2" t="s">
        <v>8</v>
      </c>
      <c r="G4" s="2" t="s">
        <v>50</v>
      </c>
      <c r="H4" s="2" t="s">
        <v>235</v>
      </c>
      <c r="I4" s="2" t="s">
        <v>254</v>
      </c>
      <c r="J4" s="2" t="s">
        <v>313</v>
      </c>
      <c r="K4" s="2" t="s">
        <v>209</v>
      </c>
    </row>
    <row r="5" spans="1:11" ht="51" x14ac:dyDescent="0.2">
      <c r="A5" s="1" t="s">
        <v>2</v>
      </c>
      <c r="B5" s="2" t="s">
        <v>183</v>
      </c>
      <c r="C5" s="2" t="s">
        <v>79</v>
      </c>
      <c r="D5" s="2">
        <v>1</v>
      </c>
      <c r="E5" s="2" t="s">
        <v>48</v>
      </c>
      <c r="F5" s="2" t="s">
        <v>80</v>
      </c>
      <c r="G5" s="2" t="s">
        <v>50</v>
      </c>
      <c r="H5" s="2" t="s">
        <v>235</v>
      </c>
      <c r="I5" s="2" t="s">
        <v>254</v>
      </c>
      <c r="J5" s="2" t="s">
        <v>314</v>
      </c>
      <c r="K5" s="2" t="s">
        <v>210</v>
      </c>
    </row>
    <row r="6" spans="1:11" ht="51" x14ac:dyDescent="0.2">
      <c r="A6" s="1" t="s">
        <v>2</v>
      </c>
      <c r="B6" s="2" t="s">
        <v>184</v>
      </c>
      <c r="C6" s="2" t="s">
        <v>81</v>
      </c>
      <c r="D6" s="2">
        <v>1</v>
      </c>
      <c r="E6" s="2" t="s">
        <v>48</v>
      </c>
      <c r="F6" s="2" t="s">
        <v>82</v>
      </c>
      <c r="G6" s="2" t="s">
        <v>83</v>
      </c>
      <c r="H6" s="2" t="s">
        <v>235</v>
      </c>
      <c r="I6" s="2" t="s">
        <v>254</v>
      </c>
      <c r="J6" s="2" t="s">
        <v>271</v>
      </c>
      <c r="K6" s="2" t="s">
        <v>211</v>
      </c>
    </row>
    <row r="7" spans="1:11" ht="51" x14ac:dyDescent="0.2">
      <c r="A7" s="1" t="s">
        <v>2</v>
      </c>
      <c r="B7" s="2" t="s">
        <v>185</v>
      </c>
      <c r="C7" s="2" t="s">
        <v>58</v>
      </c>
      <c r="D7" s="2">
        <v>1</v>
      </c>
      <c r="E7" s="2" t="s">
        <v>48</v>
      </c>
      <c r="F7" s="2" t="s">
        <v>21</v>
      </c>
      <c r="G7" s="2" t="s">
        <v>59</v>
      </c>
      <c r="H7" s="2" t="s">
        <v>318</v>
      </c>
      <c r="I7" s="1" t="s">
        <v>22</v>
      </c>
      <c r="J7" s="2" t="s">
        <v>272</v>
      </c>
      <c r="K7" s="2" t="s">
        <v>212</v>
      </c>
    </row>
    <row r="8" spans="1:11" ht="68" x14ac:dyDescent="0.2">
      <c r="A8" s="1" t="s">
        <v>2</v>
      </c>
      <c r="B8" s="2" t="s">
        <v>186</v>
      </c>
      <c r="C8" s="2" t="s">
        <v>13</v>
      </c>
      <c r="D8" s="2">
        <v>2</v>
      </c>
      <c r="E8" s="2" t="s">
        <v>48</v>
      </c>
      <c r="F8" s="2" t="s">
        <v>131</v>
      </c>
      <c r="G8" s="2" t="s">
        <v>53</v>
      </c>
      <c r="H8" s="2" t="s">
        <v>236</v>
      </c>
      <c r="I8" s="2" t="s">
        <v>253</v>
      </c>
      <c r="J8" s="2" t="s">
        <v>273</v>
      </c>
      <c r="K8" s="2" t="s">
        <v>213</v>
      </c>
    </row>
    <row r="9" spans="1:11" ht="51" x14ac:dyDescent="0.2">
      <c r="A9" s="1" t="s">
        <v>2</v>
      </c>
      <c r="B9" s="2" t="s">
        <v>187</v>
      </c>
      <c r="C9" s="2" t="s">
        <v>14</v>
      </c>
      <c r="D9" s="2">
        <v>8</v>
      </c>
      <c r="E9" s="2" t="s">
        <v>48</v>
      </c>
      <c r="F9" s="2" t="s">
        <v>15</v>
      </c>
      <c r="G9" s="2" t="s">
        <v>54</v>
      </c>
      <c r="H9" s="2" t="s">
        <v>237</v>
      </c>
      <c r="I9" s="1" t="s">
        <v>16</v>
      </c>
      <c r="J9" s="2" t="s">
        <v>319</v>
      </c>
      <c r="K9" s="2" t="s">
        <v>214</v>
      </c>
    </row>
    <row r="10" spans="1:11" ht="51" x14ac:dyDescent="0.2">
      <c r="A10" s="1" t="s">
        <v>316</v>
      </c>
      <c r="B10" s="2" t="s">
        <v>190</v>
      </c>
      <c r="C10" s="2" t="s">
        <v>9</v>
      </c>
      <c r="D10" s="2">
        <v>1</v>
      </c>
      <c r="E10" s="2" t="s">
        <v>48</v>
      </c>
      <c r="F10" s="2" t="s">
        <v>55</v>
      </c>
      <c r="G10" s="2" t="s">
        <v>56</v>
      </c>
      <c r="H10" s="2" t="s">
        <v>97</v>
      </c>
      <c r="I10" s="1" t="s">
        <v>85</v>
      </c>
      <c r="J10" s="2" t="s">
        <v>274</v>
      </c>
      <c r="K10" s="2" t="s">
        <v>215</v>
      </c>
    </row>
    <row r="11" spans="1:11" ht="34" x14ac:dyDescent="0.2">
      <c r="A11" s="1" t="s">
        <v>316</v>
      </c>
      <c r="B11" s="2" t="s">
        <v>191</v>
      </c>
      <c r="C11" s="2" t="s">
        <v>86</v>
      </c>
      <c r="D11" s="2">
        <v>1</v>
      </c>
      <c r="E11" s="2" t="s">
        <v>48</v>
      </c>
      <c r="F11" s="2" t="s">
        <v>87</v>
      </c>
      <c r="G11" s="2" t="s">
        <v>56</v>
      </c>
      <c r="H11" s="2" t="s">
        <v>89</v>
      </c>
      <c r="I11" s="1" t="s">
        <v>88</v>
      </c>
      <c r="J11" s="2" t="s">
        <v>315</v>
      </c>
      <c r="K11" s="2" t="s">
        <v>216</v>
      </c>
    </row>
    <row r="12" spans="1:11" ht="51" x14ac:dyDescent="0.2">
      <c r="A12" s="1" t="s">
        <v>316</v>
      </c>
      <c r="B12" s="2" t="s">
        <v>192</v>
      </c>
      <c r="C12" s="2" t="s">
        <v>10</v>
      </c>
      <c r="D12" s="2">
        <v>1</v>
      </c>
      <c r="E12" s="2" t="s">
        <v>48</v>
      </c>
      <c r="F12" s="2" t="s">
        <v>90</v>
      </c>
      <c r="G12" s="2" t="s">
        <v>56</v>
      </c>
      <c r="H12" s="2" t="s">
        <v>91</v>
      </c>
      <c r="I12" s="1" t="s">
        <v>11</v>
      </c>
      <c r="J12" s="2" t="s">
        <v>275</v>
      </c>
      <c r="K12" s="2" t="s">
        <v>217</v>
      </c>
    </row>
    <row r="13" spans="1:11" ht="51" x14ac:dyDescent="0.2">
      <c r="A13" s="1" t="s">
        <v>316</v>
      </c>
      <c r="B13" s="7" t="s">
        <v>193</v>
      </c>
      <c r="C13" s="2" t="s">
        <v>92</v>
      </c>
      <c r="F13" s="2" t="s">
        <v>93</v>
      </c>
      <c r="G13" s="2" t="s">
        <v>94</v>
      </c>
      <c r="H13" s="2" t="s">
        <v>95</v>
      </c>
      <c r="I13" s="1" t="s">
        <v>96</v>
      </c>
      <c r="J13" s="2" t="s">
        <v>276</v>
      </c>
      <c r="K13" s="2" t="s">
        <v>218</v>
      </c>
    </row>
    <row r="14" spans="1:11" ht="68" x14ac:dyDescent="0.2">
      <c r="A14" s="1" t="s">
        <v>188</v>
      </c>
      <c r="B14" s="7" t="s">
        <v>194</v>
      </c>
      <c r="C14" s="2" t="s">
        <v>18</v>
      </c>
      <c r="D14" s="2">
        <v>1</v>
      </c>
      <c r="E14" s="2" t="s">
        <v>99</v>
      </c>
      <c r="F14" s="2" t="s">
        <v>100</v>
      </c>
      <c r="G14" s="2" t="s">
        <v>101</v>
      </c>
      <c r="H14" s="2" t="s">
        <v>236</v>
      </c>
      <c r="I14" s="2" t="s">
        <v>253</v>
      </c>
      <c r="J14" s="2" t="s">
        <v>277</v>
      </c>
      <c r="K14" s="2" t="s">
        <v>219</v>
      </c>
    </row>
    <row r="15" spans="1:11" ht="68" x14ac:dyDescent="0.2">
      <c r="A15" s="1" t="s">
        <v>188</v>
      </c>
      <c r="B15" s="7" t="s">
        <v>195</v>
      </c>
      <c r="C15" s="2" t="s">
        <v>19</v>
      </c>
      <c r="D15" s="2">
        <v>1</v>
      </c>
      <c r="E15" s="2" t="s">
        <v>102</v>
      </c>
      <c r="F15" s="2" t="s">
        <v>103</v>
      </c>
      <c r="G15" s="2" t="s">
        <v>50</v>
      </c>
      <c r="H15" s="2" t="s">
        <v>236</v>
      </c>
      <c r="I15" s="2" t="s">
        <v>253</v>
      </c>
      <c r="J15" s="2" t="s">
        <v>278</v>
      </c>
      <c r="K15" s="2" t="s">
        <v>220</v>
      </c>
    </row>
    <row r="16" spans="1:11" ht="68" x14ac:dyDescent="0.2">
      <c r="A16" s="1" t="s">
        <v>188</v>
      </c>
      <c r="B16" s="7" t="s">
        <v>196</v>
      </c>
      <c r="C16" s="2" t="s">
        <v>20</v>
      </c>
      <c r="D16" s="2">
        <v>1</v>
      </c>
      <c r="E16" s="2" t="s">
        <v>104</v>
      </c>
      <c r="F16" s="2" t="s">
        <v>105</v>
      </c>
      <c r="G16" s="2" t="s">
        <v>50</v>
      </c>
      <c r="H16" s="2" t="s">
        <v>236</v>
      </c>
      <c r="I16" s="2" t="s">
        <v>253</v>
      </c>
      <c r="J16" s="2" t="s">
        <v>279</v>
      </c>
      <c r="K16" s="2" t="s">
        <v>221</v>
      </c>
    </row>
    <row r="17" spans="1:11" ht="85" x14ac:dyDescent="0.2">
      <c r="A17" s="1" t="s">
        <v>188</v>
      </c>
      <c r="B17" s="7" t="s">
        <v>197</v>
      </c>
      <c r="C17" s="2" t="s">
        <v>110</v>
      </c>
      <c r="D17" s="2">
        <v>1</v>
      </c>
      <c r="E17" s="2" t="s">
        <v>111</v>
      </c>
      <c r="F17" s="2" t="s">
        <v>112</v>
      </c>
      <c r="G17" s="2" t="s">
        <v>53</v>
      </c>
      <c r="H17" s="2" t="s">
        <v>236</v>
      </c>
      <c r="I17" s="2" t="s">
        <v>253</v>
      </c>
      <c r="J17" s="2" t="s">
        <v>366</v>
      </c>
      <c r="K17" s="2" t="s">
        <v>222</v>
      </c>
    </row>
    <row r="18" spans="1:11" ht="51" x14ac:dyDescent="0.2">
      <c r="A18" s="1" t="s">
        <v>189</v>
      </c>
      <c r="B18" s="7" t="s">
        <v>198</v>
      </c>
      <c r="C18" s="2" t="s">
        <v>17</v>
      </c>
      <c r="D18" s="2">
        <v>1</v>
      </c>
      <c r="E18" s="2" t="s">
        <v>106</v>
      </c>
      <c r="F18" s="2" t="s">
        <v>107</v>
      </c>
      <c r="G18" s="2" t="s">
        <v>57</v>
      </c>
      <c r="H18" s="2" t="s">
        <v>238</v>
      </c>
      <c r="I18" s="1" t="s">
        <v>98</v>
      </c>
      <c r="J18" s="2" t="s">
        <v>108</v>
      </c>
      <c r="K18" s="2" t="s">
        <v>223</v>
      </c>
    </row>
    <row r="19" spans="1:11" ht="20" x14ac:dyDescent="0.2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</row>
    <row r="20" spans="1:11" ht="136" x14ac:dyDescent="0.2">
      <c r="A20" s="1" t="s">
        <v>3</v>
      </c>
      <c r="B20" s="7" t="s">
        <v>199</v>
      </c>
      <c r="C20" s="2" t="s">
        <v>121</v>
      </c>
      <c r="D20" s="2" t="s">
        <v>122</v>
      </c>
      <c r="E20" s="2" t="s">
        <v>123</v>
      </c>
      <c r="F20" s="2" t="s">
        <v>124</v>
      </c>
      <c r="G20" s="2" t="s">
        <v>52</v>
      </c>
      <c r="H20" s="2" t="s">
        <v>239</v>
      </c>
      <c r="I20" s="1" t="s">
        <v>255</v>
      </c>
      <c r="J20" s="2" t="s">
        <v>280</v>
      </c>
      <c r="K20" s="2" t="s">
        <v>224</v>
      </c>
    </row>
    <row r="21" spans="1:11" ht="85" x14ac:dyDescent="0.2">
      <c r="A21" s="1" t="s">
        <v>3</v>
      </c>
      <c r="B21" s="7" t="s">
        <v>200</v>
      </c>
      <c r="C21" s="2" t="s">
        <v>23</v>
      </c>
      <c r="D21" s="2">
        <v>1</v>
      </c>
      <c r="E21" s="2" t="s">
        <v>35</v>
      </c>
      <c r="F21" s="2" t="s">
        <v>334</v>
      </c>
      <c r="G21" s="2" t="s">
        <v>60</v>
      </c>
      <c r="H21" s="2" t="s">
        <v>240</v>
      </c>
      <c r="I21" s="2" t="s">
        <v>336</v>
      </c>
      <c r="J21" s="2" t="s">
        <v>365</v>
      </c>
      <c r="K21" s="2" t="s">
        <v>225</v>
      </c>
    </row>
    <row r="22" spans="1:11" ht="136" x14ac:dyDescent="0.2">
      <c r="A22" s="1" t="s">
        <v>3</v>
      </c>
      <c r="B22" s="7" t="s">
        <v>201</v>
      </c>
      <c r="C22" s="2" t="s">
        <v>24</v>
      </c>
      <c r="D22" s="2">
        <v>1</v>
      </c>
      <c r="E22" s="2" t="s">
        <v>35</v>
      </c>
      <c r="F22" s="2" t="s">
        <v>340</v>
      </c>
      <c r="G22" s="2" t="s">
        <v>50</v>
      </c>
      <c r="H22" s="2" t="s">
        <v>241</v>
      </c>
      <c r="I22" s="2" t="s">
        <v>336</v>
      </c>
      <c r="J22" s="2" t="s">
        <v>337</v>
      </c>
      <c r="K22" s="2" t="s">
        <v>226</v>
      </c>
    </row>
    <row r="23" spans="1:11" ht="102" x14ac:dyDescent="0.2">
      <c r="A23" s="1" t="s">
        <v>3</v>
      </c>
      <c r="B23" s="7" t="s">
        <v>202</v>
      </c>
      <c r="C23" s="2" t="s">
        <v>25</v>
      </c>
      <c r="D23" s="2">
        <v>1</v>
      </c>
      <c r="E23" s="2" t="s">
        <v>61</v>
      </c>
      <c r="F23" s="2" t="s">
        <v>363</v>
      </c>
      <c r="G23" s="2" t="s">
        <v>50</v>
      </c>
      <c r="H23" s="2" t="s">
        <v>242</v>
      </c>
      <c r="I23" s="1" t="s">
        <v>62</v>
      </c>
      <c r="J23" s="2" t="s">
        <v>364</v>
      </c>
      <c r="K23" s="2" t="s">
        <v>227</v>
      </c>
    </row>
    <row r="24" spans="1:11" ht="102" x14ac:dyDescent="0.2">
      <c r="A24" s="1" t="s">
        <v>3</v>
      </c>
      <c r="B24" s="7" t="s">
        <v>203</v>
      </c>
      <c r="C24" s="2" t="s">
        <v>63</v>
      </c>
      <c r="D24" s="2">
        <v>1</v>
      </c>
      <c r="E24" s="2" t="s">
        <v>48</v>
      </c>
      <c r="F24" s="2" t="s">
        <v>113</v>
      </c>
      <c r="G24" s="2" t="s">
        <v>64</v>
      </c>
      <c r="H24" s="2" t="s">
        <v>243</v>
      </c>
      <c r="I24" s="1" t="s">
        <v>65</v>
      </c>
      <c r="J24" s="2" t="s">
        <v>281</v>
      </c>
      <c r="K24" s="2" t="s">
        <v>228</v>
      </c>
    </row>
    <row r="25" spans="1:11" ht="119" x14ac:dyDescent="0.2">
      <c r="A25" s="1" t="s">
        <v>3</v>
      </c>
      <c r="B25" s="7" t="s">
        <v>204</v>
      </c>
      <c r="C25" s="2" t="s">
        <v>66</v>
      </c>
      <c r="D25" s="2" t="s">
        <v>67</v>
      </c>
      <c r="E25" s="2" t="s">
        <v>68</v>
      </c>
      <c r="F25" s="2" t="s">
        <v>69</v>
      </c>
      <c r="G25" s="2" t="s">
        <v>70</v>
      </c>
      <c r="H25" s="2" t="s">
        <v>244</v>
      </c>
      <c r="I25" s="1" t="s">
        <v>71</v>
      </c>
      <c r="J25" s="2" t="s">
        <v>282</v>
      </c>
      <c r="K25" s="2" t="s">
        <v>229</v>
      </c>
    </row>
    <row r="26" spans="1:11" ht="187" x14ac:dyDescent="0.2">
      <c r="A26" s="1" t="s">
        <v>3</v>
      </c>
      <c r="B26" s="7" t="s">
        <v>205</v>
      </c>
      <c r="C26" s="2" t="s">
        <v>26</v>
      </c>
      <c r="D26" s="2">
        <v>2</v>
      </c>
      <c r="E26" s="2" t="s">
        <v>35</v>
      </c>
      <c r="F26" s="2" t="s">
        <v>339</v>
      </c>
      <c r="G26" s="2" t="s">
        <v>119</v>
      </c>
      <c r="H26" s="2" t="s">
        <v>245</v>
      </c>
      <c r="I26" s="2" t="s">
        <v>336</v>
      </c>
      <c r="J26" s="2" t="s">
        <v>367</v>
      </c>
      <c r="K26" s="2" t="s">
        <v>230</v>
      </c>
    </row>
    <row r="27" spans="1:11" ht="34" x14ac:dyDescent="0.2">
      <c r="A27" s="1" t="s">
        <v>3</v>
      </c>
      <c r="B27" s="7" t="s">
        <v>206</v>
      </c>
      <c r="C27" s="2" t="s">
        <v>72</v>
      </c>
      <c r="D27" s="2" t="s">
        <v>116</v>
      </c>
      <c r="E27" s="2" t="s">
        <v>1</v>
      </c>
      <c r="F27" s="2" t="s">
        <v>1</v>
      </c>
      <c r="G27" s="2" t="s">
        <v>117</v>
      </c>
      <c r="H27" s="2" t="s">
        <v>120</v>
      </c>
      <c r="I27" s="1" t="s">
        <v>118</v>
      </c>
      <c r="J27" s="8" t="s">
        <v>283</v>
      </c>
      <c r="K27" s="2" t="s">
        <v>231</v>
      </c>
    </row>
    <row r="28" spans="1:11" ht="85" x14ac:dyDescent="0.2">
      <c r="A28" s="1" t="s">
        <v>3</v>
      </c>
      <c r="B28" s="7" t="s">
        <v>207</v>
      </c>
      <c r="C28" s="2" t="s">
        <v>27</v>
      </c>
      <c r="D28" s="2" t="s">
        <v>114</v>
      </c>
      <c r="E28" s="2" t="s">
        <v>48</v>
      </c>
      <c r="F28" s="2" t="s">
        <v>115</v>
      </c>
      <c r="G28" s="2" t="s">
        <v>83</v>
      </c>
      <c r="H28" s="2" t="s">
        <v>239</v>
      </c>
      <c r="I28" s="2" t="s">
        <v>132</v>
      </c>
      <c r="J28" s="8" t="s">
        <v>284</v>
      </c>
      <c r="K28" s="2" t="s">
        <v>232</v>
      </c>
    </row>
    <row r="29" spans="1:11" ht="16" customHeight="1" x14ac:dyDescent="0.2">
      <c r="A29" s="34"/>
      <c r="B29" s="35"/>
      <c r="C29" s="35"/>
      <c r="D29" s="35"/>
      <c r="E29" s="35"/>
      <c r="F29" s="35"/>
      <c r="G29" s="35"/>
      <c r="H29" s="35"/>
      <c r="I29" s="35"/>
      <c r="J29" s="35"/>
      <c r="K29" s="35"/>
    </row>
    <row r="30" spans="1:11" ht="51" x14ac:dyDescent="0.2">
      <c r="A30" s="1" t="s">
        <v>28</v>
      </c>
      <c r="B30" s="2" t="s">
        <v>234</v>
      </c>
      <c r="C30" s="2" t="s">
        <v>73</v>
      </c>
      <c r="D30" s="2">
        <v>4</v>
      </c>
      <c r="E30" s="2" t="s">
        <v>61</v>
      </c>
      <c r="F30" s="2" t="s">
        <v>125</v>
      </c>
      <c r="G30" s="2" t="s">
        <v>74</v>
      </c>
      <c r="H30" s="2" t="s">
        <v>246</v>
      </c>
      <c r="I30" s="1" t="s">
        <v>29</v>
      </c>
      <c r="J30" s="8" t="s">
        <v>285</v>
      </c>
      <c r="K30" s="2" t="s">
        <v>233</v>
      </c>
    </row>
    <row r="31" spans="1:11" ht="119" x14ac:dyDescent="0.2">
      <c r="A31" s="1" t="s">
        <v>78</v>
      </c>
      <c r="B31" s="2" t="s">
        <v>268</v>
      </c>
      <c r="C31" s="2" t="s">
        <v>75</v>
      </c>
      <c r="D31" s="2" t="s">
        <v>126</v>
      </c>
      <c r="E31" s="2" t="s">
        <v>61</v>
      </c>
      <c r="F31" s="2" t="s">
        <v>362</v>
      </c>
      <c r="G31" s="2" t="s">
        <v>127</v>
      </c>
      <c r="H31" s="2" t="s">
        <v>370</v>
      </c>
      <c r="I31" s="1" t="s">
        <v>128</v>
      </c>
      <c r="J31" s="8" t="s">
        <v>286</v>
      </c>
      <c r="K31" s="2" t="s">
        <v>267</v>
      </c>
    </row>
    <row r="32" spans="1:11" ht="68" x14ac:dyDescent="0.2">
      <c r="A32" s="1" t="s">
        <v>30</v>
      </c>
      <c r="B32" s="2" t="s">
        <v>84</v>
      </c>
      <c r="C32" s="2" t="s">
        <v>31</v>
      </c>
      <c r="D32" s="2">
        <v>1</v>
      </c>
      <c r="E32" s="2" t="s">
        <v>35</v>
      </c>
      <c r="F32" s="2" t="s">
        <v>129</v>
      </c>
      <c r="G32" s="2" t="s">
        <v>76</v>
      </c>
      <c r="H32" s="1" t="s">
        <v>373</v>
      </c>
      <c r="I32" s="1" t="s">
        <v>77</v>
      </c>
      <c r="J32" s="8" t="s">
        <v>287</v>
      </c>
      <c r="K32" s="2" t="s">
        <v>267</v>
      </c>
    </row>
    <row r="34" spans="1:10" x14ac:dyDescent="0.2">
      <c r="A34" s="24" t="s">
        <v>369</v>
      </c>
      <c r="B34" s="24"/>
      <c r="C34" s="24"/>
      <c r="D34" s="24"/>
      <c r="E34" s="24"/>
      <c r="F34" s="24"/>
      <c r="G34" s="24"/>
      <c r="H34" s="24"/>
      <c r="I34" s="24"/>
    </row>
    <row r="36" spans="1:10" x14ac:dyDescent="0.2">
      <c r="A36" s="8"/>
    </row>
    <row r="37" spans="1:10" x14ac:dyDescent="0.2">
      <c r="A37" s="10" t="s">
        <v>368</v>
      </c>
      <c r="B37" s="9"/>
    </row>
    <row r="38" spans="1:10" x14ac:dyDescent="0.2">
      <c r="A38" s="11" t="s">
        <v>177</v>
      </c>
      <c r="B38" s="31" t="s">
        <v>180</v>
      </c>
      <c r="C38" s="31"/>
      <c r="D38" s="31"/>
      <c r="E38" s="31"/>
      <c r="F38" s="31"/>
      <c r="G38" s="31"/>
      <c r="H38" s="31"/>
      <c r="I38" s="31"/>
      <c r="J38" s="31"/>
    </row>
    <row r="39" spans="1:10" x14ac:dyDescent="0.2">
      <c r="A39" s="12" t="s">
        <v>179</v>
      </c>
      <c r="B39" s="30" t="s">
        <v>288</v>
      </c>
      <c r="C39" s="30"/>
      <c r="D39" s="30"/>
      <c r="E39" s="30"/>
      <c r="F39" s="30"/>
      <c r="G39" s="30"/>
      <c r="H39" s="30"/>
      <c r="I39" s="30"/>
      <c r="J39" s="30"/>
    </row>
    <row r="40" spans="1:10" x14ac:dyDescent="0.2">
      <c r="A40" s="12" t="s">
        <v>208</v>
      </c>
      <c r="B40" s="30" t="s">
        <v>289</v>
      </c>
      <c r="C40" s="30"/>
      <c r="D40" s="30"/>
      <c r="E40" s="30"/>
      <c r="F40" s="30"/>
      <c r="G40" s="30"/>
      <c r="H40" s="30"/>
      <c r="I40" s="30"/>
      <c r="J40" s="30"/>
    </row>
    <row r="41" spans="1:10" x14ac:dyDescent="0.2">
      <c r="A41" s="12" t="s">
        <v>209</v>
      </c>
      <c r="B41" s="30" t="s">
        <v>290</v>
      </c>
      <c r="C41" s="30"/>
      <c r="D41" s="30"/>
      <c r="E41" s="30"/>
      <c r="F41" s="30"/>
      <c r="G41" s="30"/>
      <c r="H41" s="30"/>
      <c r="I41" s="30"/>
      <c r="J41" s="30"/>
    </row>
    <row r="42" spans="1:10" x14ac:dyDescent="0.2">
      <c r="A42" s="12" t="s">
        <v>210</v>
      </c>
      <c r="B42" s="30" t="s">
        <v>291</v>
      </c>
      <c r="C42" s="30"/>
      <c r="D42" s="30"/>
      <c r="E42" s="30"/>
      <c r="F42" s="30"/>
      <c r="G42" s="30"/>
      <c r="H42" s="30"/>
      <c r="I42" s="30"/>
      <c r="J42" s="30"/>
    </row>
    <row r="43" spans="1:10" x14ac:dyDescent="0.2">
      <c r="A43" s="12" t="s">
        <v>211</v>
      </c>
      <c r="B43" s="30" t="s">
        <v>292</v>
      </c>
      <c r="C43" s="30"/>
      <c r="D43" s="30"/>
      <c r="E43" s="30"/>
      <c r="F43" s="30"/>
      <c r="G43" s="30"/>
      <c r="H43" s="30"/>
      <c r="I43" s="30"/>
      <c r="J43" s="30"/>
    </row>
    <row r="44" spans="1:10" x14ac:dyDescent="0.2">
      <c r="A44" s="12" t="s">
        <v>212</v>
      </c>
      <c r="B44" s="30" t="s">
        <v>293</v>
      </c>
      <c r="C44" s="30"/>
      <c r="D44" s="30"/>
      <c r="E44" s="30"/>
      <c r="F44" s="30"/>
      <c r="G44" s="30"/>
      <c r="H44" s="30"/>
      <c r="I44" s="30"/>
      <c r="J44" s="30"/>
    </row>
    <row r="45" spans="1:10" x14ac:dyDescent="0.2">
      <c r="A45" s="12" t="s">
        <v>213</v>
      </c>
      <c r="B45" s="30" t="s">
        <v>294</v>
      </c>
      <c r="C45" s="30"/>
      <c r="D45" s="30"/>
      <c r="E45" s="30"/>
      <c r="F45" s="30"/>
      <c r="G45" s="30"/>
      <c r="H45" s="30"/>
      <c r="I45" s="30"/>
      <c r="J45" s="30"/>
    </row>
    <row r="46" spans="1:10" x14ac:dyDescent="0.2">
      <c r="A46" s="12" t="s">
        <v>214</v>
      </c>
      <c r="B46" s="30" t="s">
        <v>308</v>
      </c>
      <c r="C46" s="30"/>
      <c r="D46" s="30"/>
      <c r="E46" s="30"/>
      <c r="F46" s="30"/>
      <c r="G46" s="30"/>
      <c r="H46" s="30"/>
      <c r="I46" s="30"/>
      <c r="J46" s="30"/>
    </row>
    <row r="47" spans="1:10" x14ac:dyDescent="0.2">
      <c r="A47" s="12" t="s">
        <v>215</v>
      </c>
      <c r="B47" s="30" t="s">
        <v>295</v>
      </c>
      <c r="C47" s="30"/>
      <c r="D47" s="30"/>
      <c r="E47" s="30"/>
      <c r="F47" s="30"/>
      <c r="G47" s="30"/>
      <c r="H47" s="30"/>
      <c r="I47" s="30"/>
      <c r="J47" s="30"/>
    </row>
    <row r="48" spans="1:10" x14ac:dyDescent="0.2">
      <c r="A48" s="12" t="s">
        <v>216</v>
      </c>
      <c r="B48" s="30" t="s">
        <v>296</v>
      </c>
      <c r="C48" s="30"/>
      <c r="D48" s="30"/>
      <c r="E48" s="30"/>
      <c r="F48" s="30"/>
      <c r="G48" s="30"/>
      <c r="H48" s="30"/>
      <c r="I48" s="30"/>
      <c r="J48" s="30"/>
    </row>
    <row r="49" spans="1:10" x14ac:dyDescent="0.2">
      <c r="A49" s="12" t="s">
        <v>217</v>
      </c>
      <c r="B49" s="30" t="s">
        <v>297</v>
      </c>
      <c r="C49" s="30"/>
      <c r="D49" s="30"/>
      <c r="E49" s="30"/>
      <c r="F49" s="30"/>
      <c r="G49" s="30"/>
      <c r="H49" s="30"/>
      <c r="I49" s="30"/>
      <c r="J49" s="30"/>
    </row>
    <row r="50" spans="1:10" x14ac:dyDescent="0.2">
      <c r="A50" s="12" t="s">
        <v>218</v>
      </c>
      <c r="B50" s="30" t="s">
        <v>298</v>
      </c>
      <c r="C50" s="30"/>
      <c r="D50" s="30"/>
      <c r="E50" s="30"/>
      <c r="F50" s="30"/>
      <c r="G50" s="30"/>
      <c r="H50" s="30"/>
      <c r="I50" s="30"/>
      <c r="J50" s="30"/>
    </row>
    <row r="51" spans="1:10" x14ac:dyDescent="0.2">
      <c r="A51" s="12" t="s">
        <v>219</v>
      </c>
      <c r="B51" s="30" t="s">
        <v>299</v>
      </c>
      <c r="C51" s="30"/>
      <c r="D51" s="30"/>
      <c r="E51" s="30"/>
      <c r="F51" s="30"/>
      <c r="G51" s="30"/>
      <c r="H51" s="30"/>
      <c r="I51" s="30"/>
      <c r="J51" s="30"/>
    </row>
    <row r="52" spans="1:10" x14ac:dyDescent="0.2">
      <c r="A52" s="12" t="s">
        <v>220</v>
      </c>
      <c r="B52" s="30" t="s">
        <v>300</v>
      </c>
      <c r="C52" s="30"/>
      <c r="D52" s="30"/>
      <c r="E52" s="30"/>
      <c r="F52" s="30"/>
      <c r="G52" s="30"/>
      <c r="H52" s="30"/>
      <c r="I52" s="30"/>
      <c r="J52" s="30"/>
    </row>
    <row r="53" spans="1:10" x14ac:dyDescent="0.2">
      <c r="A53" s="12" t="s">
        <v>221</v>
      </c>
      <c r="B53" s="30" t="s">
        <v>301</v>
      </c>
      <c r="C53" s="30"/>
      <c r="D53" s="30"/>
      <c r="E53" s="30"/>
      <c r="F53" s="30"/>
      <c r="G53" s="30"/>
      <c r="H53" s="30"/>
      <c r="I53" s="30"/>
      <c r="J53" s="30"/>
    </row>
    <row r="54" spans="1:10" x14ac:dyDescent="0.2">
      <c r="A54" s="12" t="s">
        <v>222</v>
      </c>
      <c r="B54" s="30" t="s">
        <v>302</v>
      </c>
      <c r="C54" s="30"/>
      <c r="D54" s="30"/>
      <c r="E54" s="30"/>
      <c r="F54" s="30"/>
      <c r="G54" s="30"/>
      <c r="H54" s="30"/>
      <c r="I54" s="30"/>
      <c r="J54" s="30"/>
    </row>
    <row r="55" spans="1:10" x14ac:dyDescent="0.2">
      <c r="A55" s="12" t="s">
        <v>223</v>
      </c>
      <c r="B55" s="30" t="s">
        <v>372</v>
      </c>
      <c r="C55" s="30"/>
      <c r="D55" s="30"/>
      <c r="E55" s="30"/>
      <c r="F55" s="30"/>
      <c r="G55" s="30"/>
      <c r="H55" s="30"/>
      <c r="I55" s="30"/>
      <c r="J55" s="30"/>
    </row>
    <row r="56" spans="1:10" x14ac:dyDescent="0.2">
      <c r="A56" s="12" t="s">
        <v>224</v>
      </c>
      <c r="B56" s="30" t="s">
        <v>311</v>
      </c>
      <c r="C56" s="30"/>
      <c r="D56" s="30"/>
      <c r="E56" s="30"/>
      <c r="F56" s="30"/>
      <c r="G56" s="30"/>
      <c r="H56" s="30"/>
      <c r="I56" s="30"/>
      <c r="J56" s="30"/>
    </row>
    <row r="57" spans="1:10" x14ac:dyDescent="0.2">
      <c r="A57" s="12" t="s">
        <v>225</v>
      </c>
      <c r="B57" s="30" t="s">
        <v>312</v>
      </c>
      <c r="C57" s="30"/>
      <c r="D57" s="30"/>
      <c r="E57" s="30"/>
      <c r="F57" s="30"/>
      <c r="G57" s="30"/>
      <c r="H57" s="30"/>
      <c r="I57" s="30"/>
      <c r="J57" s="30"/>
    </row>
    <row r="58" spans="1:10" x14ac:dyDescent="0.2">
      <c r="A58" s="12" t="s">
        <v>226</v>
      </c>
      <c r="B58" s="32" t="s">
        <v>333</v>
      </c>
      <c r="C58" s="30"/>
      <c r="D58" s="30"/>
      <c r="E58" s="30"/>
      <c r="F58" s="30"/>
      <c r="G58" s="30"/>
      <c r="H58" s="30"/>
      <c r="I58" s="30"/>
      <c r="J58" s="30"/>
    </row>
    <row r="59" spans="1:10" x14ac:dyDescent="0.2">
      <c r="A59" s="12" t="s">
        <v>227</v>
      </c>
      <c r="B59" s="30" t="s">
        <v>303</v>
      </c>
      <c r="C59" s="30"/>
      <c r="D59" s="30"/>
      <c r="E59" s="30"/>
      <c r="F59" s="30"/>
      <c r="G59" s="30"/>
      <c r="H59" s="30"/>
      <c r="I59" s="30"/>
      <c r="J59" s="30"/>
    </row>
    <row r="60" spans="1:10" x14ac:dyDescent="0.2">
      <c r="A60" s="12" t="s">
        <v>228</v>
      </c>
      <c r="B60" s="30" t="s">
        <v>304</v>
      </c>
      <c r="C60" s="30"/>
      <c r="D60" s="30"/>
      <c r="E60" s="30"/>
      <c r="F60" s="30"/>
      <c r="G60" s="30"/>
      <c r="H60" s="30"/>
      <c r="I60" s="30"/>
      <c r="J60" s="30"/>
    </row>
    <row r="61" spans="1:10" x14ac:dyDescent="0.2">
      <c r="A61" s="12" t="s">
        <v>229</v>
      </c>
      <c r="B61" s="30" t="s">
        <v>305</v>
      </c>
      <c r="C61" s="30"/>
      <c r="D61" s="30"/>
      <c r="E61" s="30"/>
      <c r="F61" s="30"/>
      <c r="G61" s="30"/>
      <c r="H61" s="30"/>
      <c r="I61" s="30"/>
      <c r="J61" s="30"/>
    </row>
    <row r="62" spans="1:10" x14ac:dyDescent="0.2">
      <c r="A62" s="12" t="s">
        <v>230</v>
      </c>
      <c r="B62" s="32" t="s">
        <v>338</v>
      </c>
      <c r="C62" s="30"/>
      <c r="D62" s="30"/>
      <c r="E62" s="30"/>
      <c r="F62" s="30"/>
      <c r="G62" s="30"/>
      <c r="H62" s="30"/>
      <c r="I62" s="30"/>
      <c r="J62" s="30"/>
    </row>
    <row r="63" spans="1:10" x14ac:dyDescent="0.2">
      <c r="A63" s="12" t="s">
        <v>231</v>
      </c>
      <c r="B63" s="30" t="s">
        <v>306</v>
      </c>
      <c r="C63" s="30"/>
      <c r="D63" s="30"/>
      <c r="E63" s="30"/>
      <c r="F63" s="30"/>
      <c r="G63" s="30"/>
      <c r="H63" s="30"/>
      <c r="I63" s="30"/>
      <c r="J63" s="30"/>
    </row>
    <row r="64" spans="1:10" x14ac:dyDescent="0.2">
      <c r="A64" s="12" t="s">
        <v>232</v>
      </c>
      <c r="B64" s="30" t="s">
        <v>307</v>
      </c>
      <c r="C64" s="30"/>
      <c r="D64" s="30"/>
      <c r="E64" s="30"/>
      <c r="F64" s="30"/>
      <c r="G64" s="30"/>
      <c r="H64" s="30"/>
      <c r="I64" s="30"/>
      <c r="J64" s="30"/>
    </row>
    <row r="65" spans="1:10" x14ac:dyDescent="0.2">
      <c r="A65" s="12" t="s">
        <v>233</v>
      </c>
      <c r="B65" s="30" t="s">
        <v>308</v>
      </c>
      <c r="C65" s="30"/>
      <c r="D65" s="30"/>
      <c r="E65" s="30"/>
      <c r="F65" s="30"/>
      <c r="G65" s="30"/>
      <c r="H65" s="30"/>
      <c r="I65" s="30"/>
      <c r="J65" s="30"/>
    </row>
    <row r="66" spans="1:10" x14ac:dyDescent="0.2">
      <c r="A66" s="12" t="s">
        <v>267</v>
      </c>
      <c r="B66" s="30" t="s">
        <v>309</v>
      </c>
      <c r="C66" s="30"/>
      <c r="D66" s="30"/>
      <c r="E66" s="30"/>
      <c r="F66" s="30"/>
      <c r="G66" s="30"/>
      <c r="H66" s="30"/>
      <c r="I66" s="30"/>
      <c r="J66" s="30"/>
    </row>
    <row r="67" spans="1:10" x14ac:dyDescent="0.2">
      <c r="A67" s="12" t="s">
        <v>267</v>
      </c>
      <c r="B67" s="30" t="s">
        <v>310</v>
      </c>
      <c r="C67" s="30"/>
      <c r="D67" s="30"/>
      <c r="E67" s="30"/>
      <c r="F67" s="30"/>
      <c r="G67" s="30"/>
      <c r="H67" s="30"/>
      <c r="I67" s="30"/>
      <c r="J67" s="30"/>
    </row>
  </sheetData>
  <mergeCells count="33">
    <mergeCell ref="A34:I34"/>
    <mergeCell ref="A19:K19"/>
    <mergeCell ref="A29:K29"/>
    <mergeCell ref="B62:J62"/>
    <mergeCell ref="B64:J64"/>
    <mergeCell ref="B63:J63"/>
    <mergeCell ref="B50:J50"/>
    <mergeCell ref="B51:J51"/>
    <mergeCell ref="B52:J52"/>
    <mergeCell ref="B53:J53"/>
    <mergeCell ref="B54:J54"/>
    <mergeCell ref="B55:J55"/>
    <mergeCell ref="B44:J44"/>
    <mergeCell ref="B45:J45"/>
    <mergeCell ref="B46:J46"/>
    <mergeCell ref="B48:J48"/>
    <mergeCell ref="B47:J47"/>
    <mergeCell ref="B65:J65"/>
    <mergeCell ref="B66:J66"/>
    <mergeCell ref="B67:J67"/>
    <mergeCell ref="B56:J56"/>
    <mergeCell ref="B57:J57"/>
    <mergeCell ref="B58:J58"/>
    <mergeCell ref="B60:J60"/>
    <mergeCell ref="B59:J59"/>
    <mergeCell ref="B61:J61"/>
    <mergeCell ref="B49:J49"/>
    <mergeCell ref="B43:J43"/>
    <mergeCell ref="B38:J38"/>
    <mergeCell ref="B39:J39"/>
    <mergeCell ref="B40:J40"/>
    <mergeCell ref="B41:J41"/>
    <mergeCell ref="B42:J42"/>
  </mergeCells>
  <phoneticPr fontId="2" type="noConversion"/>
  <hyperlinks>
    <hyperlink ref="B39" r:id="rId1" xr:uid="{89466922-4ABB-4340-A809-CD83FBD34D0D}"/>
    <hyperlink ref="B40" r:id="rId2" xr:uid="{0042FCDC-118D-AC4D-9403-7B1C63460556}"/>
    <hyperlink ref="B41" r:id="rId3" xr:uid="{F31E859F-49BE-774D-8DEF-B9A02001FF3F}"/>
    <hyperlink ref="B42" r:id="rId4" xr:uid="{1F7F2083-5A93-0540-8638-B2E6903AF823}"/>
    <hyperlink ref="B43" r:id="rId5" xr:uid="{AC27F7ED-D527-E44C-A994-05E12B98FC79}"/>
    <hyperlink ref="B44" r:id="rId6" xr:uid="{8F653532-5616-D344-AE90-C1BF555671E5}"/>
    <hyperlink ref="B45" r:id="rId7" xr:uid="{5F735949-EA0F-0B42-808B-86455FD4058D}"/>
    <hyperlink ref="B47" r:id="rId8" xr:uid="{6F6D4390-816D-C444-B850-363A3A0BA88B}"/>
    <hyperlink ref="B48" r:id="rId9" xr:uid="{0E4850C9-A007-6141-86DC-23562AFC743A}"/>
    <hyperlink ref="B49" r:id="rId10" xr:uid="{766FEE76-8118-F348-8629-3681061490F5}"/>
    <hyperlink ref="B50" r:id="rId11" xr:uid="{FD3B5DB4-5C00-E345-9301-F1D3BBF3D32E}"/>
    <hyperlink ref="B51" r:id="rId12" xr:uid="{6B4048A7-5BE7-534B-9C1E-1B0326D68772}"/>
    <hyperlink ref="B52" r:id="rId13" xr:uid="{3A6165A8-175E-0741-83F8-9F5F44039EB7}"/>
    <hyperlink ref="B53" r:id="rId14" xr:uid="{F633F92E-5D13-424D-A95E-E45B327F67E3}"/>
    <hyperlink ref="B54" r:id="rId15" xr:uid="{C0037AF8-9ABB-4344-89D6-CDCB08C64A30}"/>
    <hyperlink ref="B56" r:id="rId16" display="https://properties.curtin.edu.au/wp-content/uploads/sites/5/2021/02/electrical-services-guidelines-v4-aug.pdf" xr:uid="{4C3296E6-3C79-BC49-9D3E-CF24E90B4B4A}"/>
    <hyperlink ref="B57" r:id="rId17" display="https://www.atlascopco.com/en-au/compressors/air-compressor/2-18kw-screw-compressor/11-kw-screw-air-compressor" xr:uid="{10E1C3DE-8CC8-204E-A93C-F5869865A386}"/>
    <hyperlink ref="B58" r:id="rId18" display="https://molnarhoists.com.au/product/cm245-a-2-post-symmetrical-car-hoist-4-5tonne/" xr:uid="{891AAC53-D5EC-E44B-9AF8-03202D9514C2}"/>
    <hyperlink ref="B59" r:id="rId19" xr:uid="{311918ED-7130-F843-BECF-B6AEFD920CD7}"/>
    <hyperlink ref="B60" r:id="rId20" xr:uid="{7D9E4862-3E84-2649-9757-C37CC98EC6B7}"/>
    <hyperlink ref="B61" r:id="rId21" xr:uid="{1DEB6CD1-2E97-9C4F-9B25-3C3FA44485BD}"/>
    <hyperlink ref="B62" r:id="rId22" display="https://www.grifco.com.au/product/e-drive/" xr:uid="{A6ADEEDC-4DA0-574A-A4C1-AB41C18313A6}"/>
    <hyperlink ref="B63" r:id="rId23" xr:uid="{206B3AB8-3F68-7F4C-A8EA-85141C31CC98}"/>
    <hyperlink ref="B64" r:id="rId24" display="https://www.milwaukeetool.com.au/on/demandware.static/-/Sites/en_AU/v1749844943985/ProductResources/Powertools/Battery %26 Chargers/M18DBSC-User-Manual.pdf" xr:uid="{1F26E0BF-DC0E-DC43-A664-A94A4EE83630}"/>
    <hyperlink ref="B65" r:id="rId25" display="https://pierlite.com.au/resources/Resource Assets/Pierlite Fast Movers February 2025_Medium Res.pdf" xr:uid="{4DDEA264-49F1-C943-80A0-EFD7C8F8700C}"/>
    <hyperlink ref="B66" r:id="rId26" display="https://pierlite.com.au/resources/Resource Assets/Pierlite Fast Movers FY 2024-2025 %28MED RES%29.pdf" xr:uid="{1D965569-A5A7-2E40-8C7C-E9D2385BE4BA}"/>
    <hyperlink ref="B67" r:id="rId27" xr:uid="{CE672353-B983-7A4A-A9FE-D7B54D7A8B3C}"/>
    <hyperlink ref="B55:J55" r:id="rId28" display="https://www.rheem.com.au/rheem/products/Residential/Electric/Rheem-111-191-Series-Electric/Rheem-50L-Electric-Water-Heater/p/191050G4" xr:uid="{8075130F-9171-D045-AE6F-B7F8731E90D1}"/>
  </hyperlinks>
  <pageMargins left="0.7" right="0.7" top="0.75" bottom="0.75" header="0.3" footer="0.3"/>
  <pageSetup paperSize="9" orientation="portrait" r:id="rId2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1CD45-3EF3-0E4C-AD8D-64AD27C880D3}">
  <dimension ref="A1:K33"/>
  <sheetViews>
    <sheetView zoomScaleNormal="100" workbookViewId="0">
      <pane ySplit="1" topLeftCell="A2" activePane="bottomLeft" state="frozen"/>
      <selection pane="bottomLeft" activeCell="C6" sqref="C6"/>
    </sheetView>
  </sheetViews>
  <sheetFormatPr baseColWidth="10" defaultColWidth="10.83203125" defaultRowHeight="16" x14ac:dyDescent="0.2"/>
  <cols>
    <col min="1" max="1" width="9.5" style="2" customWidth="1"/>
    <col min="2" max="2" width="56.83203125" style="2" customWidth="1"/>
    <col min="3" max="3" width="28" style="2" customWidth="1"/>
    <col min="4" max="4" width="12.6640625" style="2" customWidth="1"/>
    <col min="5" max="6" width="11" style="2" bestFit="1" customWidth="1"/>
    <col min="7" max="7" width="13.33203125" style="2" bestFit="1" customWidth="1"/>
    <col min="8" max="8" width="16" style="2" customWidth="1"/>
    <col min="9" max="9" width="56.83203125" style="2" bestFit="1" customWidth="1"/>
    <col min="10" max="10" width="138.5" style="2" bestFit="1" customWidth="1"/>
    <col min="11" max="11" width="11" style="2" bestFit="1" customWidth="1"/>
    <col min="12" max="16384" width="10.83203125" style="2"/>
  </cols>
  <sheetData>
    <row r="1" spans="1:11" ht="34" x14ac:dyDescent="0.2">
      <c r="A1" s="1" t="s">
        <v>134</v>
      </c>
      <c r="B1" s="1" t="s">
        <v>247</v>
      </c>
      <c r="C1" s="1" t="s">
        <v>248</v>
      </c>
      <c r="D1" s="1" t="s">
        <v>249</v>
      </c>
      <c r="E1" s="1" t="s">
        <v>135</v>
      </c>
      <c r="F1" s="1" t="s">
        <v>136</v>
      </c>
      <c r="G1" s="1" t="s">
        <v>137</v>
      </c>
      <c r="H1" s="1" t="s">
        <v>133</v>
      </c>
      <c r="I1" s="1" t="s">
        <v>171</v>
      </c>
      <c r="J1" s="1" t="s">
        <v>252</v>
      </c>
      <c r="K1" s="1" t="s">
        <v>250</v>
      </c>
    </row>
    <row r="2" spans="1:11" ht="102" x14ac:dyDescent="0.2">
      <c r="A2" s="24" t="s">
        <v>2</v>
      </c>
      <c r="B2" s="2" t="s">
        <v>161</v>
      </c>
      <c r="C2" s="2" t="s">
        <v>160</v>
      </c>
      <c r="D2" s="2" t="s">
        <v>139</v>
      </c>
      <c r="E2" s="2">
        <v>0.308</v>
      </c>
      <c r="F2" s="2">
        <v>0.14499999999999999</v>
      </c>
      <c r="G2" s="2">
        <v>0.34</v>
      </c>
      <c r="H2" s="2" t="s">
        <v>162</v>
      </c>
      <c r="I2" s="2" t="s">
        <v>321</v>
      </c>
      <c r="J2" s="2" t="s">
        <v>320</v>
      </c>
      <c r="K2" s="2" t="s">
        <v>179</v>
      </c>
    </row>
    <row r="3" spans="1:11" ht="136" x14ac:dyDescent="0.2">
      <c r="A3" s="24"/>
      <c r="B3" s="2" t="s">
        <v>141</v>
      </c>
      <c r="C3" s="2" t="s">
        <v>142</v>
      </c>
      <c r="D3" s="2" t="s">
        <v>163</v>
      </c>
      <c r="E3" s="2">
        <v>3.9</v>
      </c>
      <c r="F3" s="2">
        <v>1.889</v>
      </c>
      <c r="G3" s="2">
        <v>4.3330000000000002</v>
      </c>
      <c r="H3" s="2" t="s">
        <v>164</v>
      </c>
      <c r="I3" s="2" t="s">
        <v>323</v>
      </c>
      <c r="J3" s="2" t="s">
        <v>322</v>
      </c>
      <c r="K3" s="2" t="s">
        <v>208</v>
      </c>
    </row>
    <row r="4" spans="1:11" ht="238" x14ac:dyDescent="0.2">
      <c r="A4" s="24"/>
      <c r="B4" s="2" t="s">
        <v>143</v>
      </c>
      <c r="C4" s="2" t="s">
        <v>144</v>
      </c>
      <c r="D4" s="2" t="s">
        <v>145</v>
      </c>
      <c r="E4" s="2">
        <v>10.145</v>
      </c>
      <c r="F4" s="2">
        <v>3.2360000000000002</v>
      </c>
      <c r="G4" s="2">
        <v>10.65</v>
      </c>
      <c r="H4" s="2" t="s">
        <v>165</v>
      </c>
      <c r="I4" s="2" t="s">
        <v>326</v>
      </c>
      <c r="J4" s="2" t="s">
        <v>371</v>
      </c>
      <c r="K4" s="2" t="s">
        <v>209</v>
      </c>
    </row>
    <row r="5" spans="1:11" ht="51" x14ac:dyDescent="0.2">
      <c r="A5" s="24"/>
      <c r="B5" s="2" t="s">
        <v>146</v>
      </c>
      <c r="C5" s="2" t="s">
        <v>147</v>
      </c>
      <c r="D5" s="2" t="s">
        <v>148</v>
      </c>
      <c r="E5" s="2">
        <v>1.8</v>
      </c>
      <c r="F5" s="2">
        <v>0</v>
      </c>
      <c r="G5" s="2">
        <v>1.8</v>
      </c>
      <c r="H5" s="2">
        <v>1</v>
      </c>
      <c r="I5" s="2" t="s">
        <v>324</v>
      </c>
      <c r="J5" s="2" t="s">
        <v>168</v>
      </c>
      <c r="K5" s="2" t="s">
        <v>210</v>
      </c>
    </row>
    <row r="6" spans="1:11" ht="136" x14ac:dyDescent="0.2">
      <c r="A6" s="24"/>
      <c r="B6" s="2" t="s">
        <v>149</v>
      </c>
      <c r="C6" s="2" t="s">
        <v>166</v>
      </c>
      <c r="D6" s="2" t="s">
        <v>148</v>
      </c>
      <c r="E6" s="2">
        <v>0.16600000000000001</v>
      </c>
      <c r="F6" s="2">
        <v>0.08</v>
      </c>
      <c r="G6" s="2">
        <v>0.185</v>
      </c>
      <c r="H6" s="2" t="s">
        <v>164</v>
      </c>
      <c r="I6" s="2" t="s">
        <v>329</v>
      </c>
      <c r="J6" s="2" t="s">
        <v>325</v>
      </c>
      <c r="K6" s="2" t="s">
        <v>211</v>
      </c>
    </row>
    <row r="7" spans="1:11" ht="17" x14ac:dyDescent="0.2">
      <c r="A7" s="25" t="s">
        <v>170</v>
      </c>
      <c r="B7" s="25"/>
      <c r="C7" s="25"/>
      <c r="D7" s="25"/>
      <c r="E7" s="3">
        <f>SUM(E2:E6)</f>
        <v>16.318999999999999</v>
      </c>
      <c r="F7" s="3">
        <f>SUM(F2:F6)</f>
        <v>5.35</v>
      </c>
      <c r="G7" s="3">
        <f>SQRT(E7^2+F7^2)</f>
        <v>17.173591965573188</v>
      </c>
      <c r="H7" s="3" t="s">
        <v>328</v>
      </c>
      <c r="I7" s="2" t="s">
        <v>327</v>
      </c>
    </row>
    <row r="8" spans="1:11" ht="68" x14ac:dyDescent="0.2">
      <c r="A8" s="24" t="s">
        <v>3</v>
      </c>
      <c r="B8" s="2" t="s">
        <v>138</v>
      </c>
      <c r="C8" s="2" t="s">
        <v>150</v>
      </c>
      <c r="D8" s="2" t="s">
        <v>139</v>
      </c>
      <c r="E8" s="2">
        <v>0.96</v>
      </c>
      <c r="F8" s="2">
        <v>0.46500000000000002</v>
      </c>
      <c r="G8" s="2">
        <v>1.0669999999999999</v>
      </c>
      <c r="H8" s="2" t="s">
        <v>164</v>
      </c>
      <c r="I8" s="2" t="s">
        <v>331</v>
      </c>
      <c r="J8" s="2" t="s">
        <v>330</v>
      </c>
      <c r="K8" s="2" t="s">
        <v>224</v>
      </c>
    </row>
    <row r="9" spans="1:11" ht="68" x14ac:dyDescent="0.2">
      <c r="A9" s="24"/>
      <c r="B9" s="2" t="s">
        <v>151</v>
      </c>
      <c r="C9" s="2" t="s">
        <v>152</v>
      </c>
      <c r="D9" s="2" t="s">
        <v>139</v>
      </c>
      <c r="E9" s="2">
        <v>15.25</v>
      </c>
      <c r="F9" s="2">
        <v>11.438000000000001</v>
      </c>
      <c r="G9" s="2">
        <v>19.062999999999999</v>
      </c>
      <c r="H9" s="2" t="s">
        <v>167</v>
      </c>
      <c r="I9" s="2" t="s">
        <v>332</v>
      </c>
      <c r="J9" s="2" t="s">
        <v>169</v>
      </c>
      <c r="K9" s="2" t="s">
        <v>225</v>
      </c>
    </row>
    <row r="10" spans="1:11" ht="289" x14ac:dyDescent="0.2">
      <c r="A10" s="24"/>
      <c r="B10" s="2" t="s">
        <v>153</v>
      </c>
      <c r="C10" s="2" t="s">
        <v>154</v>
      </c>
      <c r="D10" s="2" t="s">
        <v>155</v>
      </c>
      <c r="E10" s="2">
        <v>15.91</v>
      </c>
      <c r="F10" s="2">
        <v>12.875</v>
      </c>
      <c r="G10" s="2">
        <v>20.466999999999999</v>
      </c>
      <c r="H10" s="2" t="s">
        <v>343</v>
      </c>
      <c r="I10" s="2" t="s">
        <v>341</v>
      </c>
      <c r="J10" s="2" t="s">
        <v>342</v>
      </c>
      <c r="K10" s="2" t="s">
        <v>226</v>
      </c>
    </row>
    <row r="11" spans="1:11" ht="51" x14ac:dyDescent="0.2">
      <c r="A11" s="24"/>
      <c r="B11" s="2" t="s">
        <v>156</v>
      </c>
      <c r="C11" s="2" t="s">
        <v>157</v>
      </c>
      <c r="D11" s="2" t="s">
        <v>148</v>
      </c>
      <c r="E11" s="2">
        <v>3.5640000000000001</v>
      </c>
      <c r="F11" s="2">
        <v>0.50800000000000001</v>
      </c>
      <c r="G11" s="2">
        <v>3.6</v>
      </c>
      <c r="H11" s="2" t="s">
        <v>348</v>
      </c>
      <c r="I11" s="2" t="s">
        <v>345</v>
      </c>
      <c r="J11" s="2" t="s">
        <v>344</v>
      </c>
      <c r="K11" s="2" t="s">
        <v>227</v>
      </c>
    </row>
    <row r="12" spans="1:11" ht="51" x14ac:dyDescent="0.2">
      <c r="A12" s="24"/>
      <c r="B12" s="2" t="s">
        <v>158</v>
      </c>
      <c r="C12" s="2" t="s">
        <v>159</v>
      </c>
      <c r="D12" s="2" t="s">
        <v>148</v>
      </c>
      <c r="E12" s="2">
        <v>1</v>
      </c>
      <c r="F12" s="2">
        <v>0.75</v>
      </c>
      <c r="G12" s="2">
        <v>1.25</v>
      </c>
      <c r="H12" s="2" t="s">
        <v>167</v>
      </c>
      <c r="I12" s="2" t="s">
        <v>347</v>
      </c>
      <c r="J12" s="2" t="s">
        <v>346</v>
      </c>
      <c r="K12" s="2" t="s">
        <v>228</v>
      </c>
    </row>
    <row r="13" spans="1:11" ht="16" customHeight="1" x14ac:dyDescent="0.2">
      <c r="A13" s="25" t="s">
        <v>172</v>
      </c>
      <c r="B13" s="25"/>
      <c r="C13" s="25"/>
      <c r="D13" s="25"/>
      <c r="E13" s="3">
        <f>SUM(E8:E12)</f>
        <v>36.684000000000005</v>
      </c>
      <c r="F13" s="3">
        <f>SUM(F8:F12)</f>
        <v>26.035999999999998</v>
      </c>
      <c r="G13" s="3">
        <f>SQRT(E13^2+F13^2)</f>
        <v>44.984321179717718</v>
      </c>
      <c r="H13" s="3" t="s">
        <v>353</v>
      </c>
      <c r="I13" s="4" t="s">
        <v>251</v>
      </c>
      <c r="J13" s="5"/>
    </row>
    <row r="14" spans="1:11" ht="102" x14ac:dyDescent="0.2">
      <c r="A14" s="1" t="s">
        <v>355</v>
      </c>
      <c r="B14" s="2" t="s">
        <v>138</v>
      </c>
      <c r="C14" s="2" t="s">
        <v>140</v>
      </c>
      <c r="D14" s="2" t="s">
        <v>139</v>
      </c>
      <c r="E14" s="2">
        <v>0.42399999999999999</v>
      </c>
      <c r="F14" s="2">
        <v>0.20499999999999999</v>
      </c>
      <c r="G14" s="2">
        <v>0.47099999999999997</v>
      </c>
      <c r="H14" s="2" t="s">
        <v>164</v>
      </c>
      <c r="I14" s="2" t="s">
        <v>350</v>
      </c>
      <c r="J14" s="2" t="s">
        <v>349</v>
      </c>
      <c r="K14" s="2" t="s">
        <v>233</v>
      </c>
    </row>
    <row r="15" spans="1:11" ht="17" x14ac:dyDescent="0.2">
      <c r="A15" s="26" t="s">
        <v>317</v>
      </c>
      <c r="B15" s="26"/>
      <c r="C15" s="26"/>
      <c r="D15" s="26"/>
      <c r="E15" s="3">
        <v>0.42399999999999999</v>
      </c>
      <c r="F15" s="3">
        <v>0.20499999999999999</v>
      </c>
      <c r="G15" s="3">
        <v>0.47099999999999997</v>
      </c>
      <c r="H15" s="3" t="s">
        <v>164</v>
      </c>
    </row>
    <row r="16" spans="1:11" ht="23" x14ac:dyDescent="0.2">
      <c r="A16" s="27" t="s">
        <v>32</v>
      </c>
      <c r="B16" s="27"/>
      <c r="C16" s="27"/>
      <c r="D16" s="27"/>
      <c r="E16" s="6">
        <f>E7+E13+E15</f>
        <v>53.427</v>
      </c>
      <c r="F16" s="6">
        <f>F7+F13+F15</f>
        <v>31.590999999999994</v>
      </c>
      <c r="G16" s="6">
        <f>SQRT(E16^2+F16^2)</f>
        <v>62.067991831539061</v>
      </c>
      <c r="H16" s="6" t="s">
        <v>376</v>
      </c>
    </row>
    <row r="19" spans="1:8" ht="86" customHeight="1" x14ac:dyDescent="0.2">
      <c r="A19" s="23" t="s">
        <v>374</v>
      </c>
      <c r="B19" s="23"/>
      <c r="C19" s="23"/>
      <c r="D19" s="23"/>
      <c r="E19" s="23"/>
      <c r="F19" s="23"/>
      <c r="G19" s="23"/>
      <c r="H19" s="23"/>
    </row>
    <row r="22" spans="1:8" ht="34" x14ac:dyDescent="0.2">
      <c r="A22" s="1" t="s">
        <v>250</v>
      </c>
      <c r="B22" s="1" t="s">
        <v>252</v>
      </c>
    </row>
    <row r="23" spans="1:8" ht="51" x14ac:dyDescent="0.2">
      <c r="A23" s="2" t="s">
        <v>179</v>
      </c>
      <c r="B23" s="5" t="s">
        <v>308</v>
      </c>
    </row>
    <row r="24" spans="1:8" ht="85" x14ac:dyDescent="0.2">
      <c r="A24" s="2" t="s">
        <v>208</v>
      </c>
      <c r="B24" s="5" t="s">
        <v>356</v>
      </c>
    </row>
    <row r="25" spans="1:8" ht="34" x14ac:dyDescent="0.2">
      <c r="A25" s="2" t="s">
        <v>209</v>
      </c>
      <c r="B25" s="5" t="s">
        <v>294</v>
      </c>
    </row>
    <row r="26" spans="1:8" ht="34" x14ac:dyDescent="0.2">
      <c r="A26" s="2" t="s">
        <v>210</v>
      </c>
      <c r="B26" s="5" t="s">
        <v>357</v>
      </c>
    </row>
    <row r="27" spans="1:8" ht="85" x14ac:dyDescent="0.2">
      <c r="A27" s="2" t="s">
        <v>211</v>
      </c>
      <c r="B27" s="5" t="s">
        <v>356</v>
      </c>
    </row>
    <row r="28" spans="1:8" ht="51" x14ac:dyDescent="0.2">
      <c r="A28" s="2" t="s">
        <v>224</v>
      </c>
      <c r="B28" s="5" t="s">
        <v>358</v>
      </c>
    </row>
    <row r="29" spans="1:8" ht="34" x14ac:dyDescent="0.2">
      <c r="A29" s="2" t="s">
        <v>225</v>
      </c>
      <c r="B29" s="5" t="s">
        <v>357</v>
      </c>
    </row>
    <row r="30" spans="1:8" ht="34" x14ac:dyDescent="0.2">
      <c r="A30" s="2" t="s">
        <v>226</v>
      </c>
      <c r="B30" s="5" t="s">
        <v>294</v>
      </c>
    </row>
    <row r="31" spans="1:8" ht="51" x14ac:dyDescent="0.2">
      <c r="A31" s="2" t="s">
        <v>227</v>
      </c>
      <c r="B31" s="5" t="s">
        <v>359</v>
      </c>
    </row>
    <row r="32" spans="1:8" ht="51" x14ac:dyDescent="0.2">
      <c r="A32" s="2" t="s">
        <v>228</v>
      </c>
      <c r="B32" s="5" t="s">
        <v>360</v>
      </c>
    </row>
    <row r="33" spans="1:2" ht="153" x14ac:dyDescent="0.2">
      <c r="A33" s="2" t="s">
        <v>233</v>
      </c>
      <c r="B33" s="5" t="s">
        <v>361</v>
      </c>
    </row>
  </sheetData>
  <mergeCells count="7">
    <mergeCell ref="A19:H19"/>
    <mergeCell ref="A2:A6"/>
    <mergeCell ref="A8:A12"/>
    <mergeCell ref="A7:D7"/>
    <mergeCell ref="A13:D13"/>
    <mergeCell ref="A15:D15"/>
    <mergeCell ref="A16:D16"/>
  </mergeCells>
  <phoneticPr fontId="2" type="noConversion"/>
  <hyperlinks>
    <hyperlink ref="B24" r:id="rId1" xr:uid="{68B91E48-6BC9-4310-B961-0C53F05449EA}"/>
    <hyperlink ref="B25" r:id="rId2" xr:uid="{B67560E3-3858-4216-88FB-B6C1A9F67906}"/>
    <hyperlink ref="B26" r:id="rId3" xr:uid="{D3C57458-60ED-4E1E-9FD1-25FAA67D94C6}"/>
    <hyperlink ref="B27" r:id="rId4" xr:uid="{60E693DA-B1A2-4E28-8E58-C2BC789C9C19}"/>
    <hyperlink ref="B28" r:id="rId5" xr:uid="{FDB26458-12D8-46A3-AA8E-08585C9D5707}"/>
    <hyperlink ref="B29" r:id="rId6" xr:uid="{FF51EB09-FCBC-4ECD-982F-67AD259D27D8}"/>
    <hyperlink ref="B31" r:id="rId7" xr:uid="{4166D6FE-BE73-4386-8DBC-BC0F2E45F716}"/>
    <hyperlink ref="B32" r:id="rId8" xr:uid="{013E5DB6-E47E-4BA5-9A5D-8F7F49B6AC8C}"/>
    <hyperlink ref="B33" r:id="rId9" display="https://shop.cnw.com.au/medias/Pierlite-MaxiMaster-Floodlight-Gen3-Datasheet.pdf?context=bWFzdGVyfHJvb3R8NDQwMDAxMHxhcHBsaWNhdGlvbi9wZGZ8YURCaEwyaGtPUzh4TURnMU16WXpNVE01TXpneU1pOVFhV1Z5YkdsMFpTQk5ZWGhwVFdGemRHVnlJRVpzYjI5a2JHbG5hSFFnUjJWdU15QXRJRVJoZEdGemFHVmxkQzV3WkdZfDAwOGViYTRmOWY3Mjc2N2QwODY2OTVjODk2ZjUzNjMzZTEyZDhhYTkxNzNmNDhkOGQ3NmM3ZjhlY2FiODM0ZGQ" xr:uid="{844F6BDE-5080-4F90-B363-288D72F08E27}"/>
    <hyperlink ref="B23" r:id="rId10" xr:uid="{CAAA1A50-80C4-EC4F-9E4B-898EF70B5119}"/>
    <hyperlink ref="B30" r:id="rId11" xr:uid="{AEF0D24E-ACD0-DB4B-8DEF-28C511379901}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 &amp; Version Control</vt:lpstr>
      <vt:lpstr>Summary</vt:lpstr>
      <vt:lpstr>Load &amp; Max Demand Analysis</vt:lpstr>
      <vt:lpstr>Load Flow Input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2026-08-14T09:55:14Z</dcterms:created>
  <dcterms:modified xsi:type="dcterms:W3CDTF">2026-09-17T08:53:40Z</dcterms:modified>
</cp:coreProperties>
</file>